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_jmge\SIC115-2022\Tarea de aplicacion\EJEMPLO\"/>
    </mc:Choice>
  </mc:AlternateContent>
  <xr:revisionPtr revIDLastSave="0" documentId="13_ncr:1_{31C2C6EC-324E-4B05-B5EE-A28DD2F852C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talogo de cuentas" sheetId="1" r:id="rId1"/>
    <sheet name="Libro diario" sheetId="2" r:id="rId2"/>
    <sheet name="Libro mayor" sheetId="3" r:id="rId3"/>
    <sheet name="Balance de comprobacion" sheetId="4" r:id="rId4"/>
    <sheet name="Estado de resultado" sheetId="8" r:id="rId5"/>
    <sheet name="Mano de obra" sheetId="5" r:id="rId6"/>
    <sheet name="CIF" sheetId="6" r:id="rId7"/>
    <sheet name="Costo total" sheetId="7" r:id="rId8"/>
  </sheets>
  <functionGroups builtInGroupCount="19"/>
  <definedNames>
    <definedName name="MiLista">CIF!$E$5:$E$9,CIF!$E$11:$E$14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6" l="1"/>
  <c r="C3" i="7" l="1"/>
  <c r="C4" i="7" l="1"/>
  <c r="C5" i="7" s="1"/>
</calcChain>
</file>

<file path=xl/sharedStrings.xml><?xml version="1.0" encoding="utf-8"?>
<sst xmlns="http://schemas.openxmlformats.org/spreadsheetml/2006/main" count="341" uniqueCount="166">
  <si>
    <t>Software Solutions</t>
  </si>
  <si>
    <t>Activo</t>
  </si>
  <si>
    <t>Caja</t>
  </si>
  <si>
    <t>Bancos</t>
  </si>
  <si>
    <t>Iva crédito fiscal</t>
  </si>
  <si>
    <t>Inventario</t>
  </si>
  <si>
    <t>Inmuebles</t>
  </si>
  <si>
    <t>Cuentas por pagar</t>
  </si>
  <si>
    <t>Iva débito fiscal</t>
  </si>
  <si>
    <t>Ingresos diferidos</t>
  </si>
  <si>
    <t>Capital social</t>
  </si>
  <si>
    <t>Reservas de capital</t>
  </si>
  <si>
    <t>Utilidad neta</t>
  </si>
  <si>
    <t>Utilidad del ejercicio</t>
  </si>
  <si>
    <t>Patrimonio restringido</t>
  </si>
  <si>
    <t>Ingresos de operación</t>
  </si>
  <si>
    <t>Ingresos por servicios</t>
  </si>
  <si>
    <t>Ingresos de otras actividades</t>
  </si>
  <si>
    <t>Ventas</t>
  </si>
  <si>
    <t>Costos</t>
  </si>
  <si>
    <t>Costos de ventas</t>
  </si>
  <si>
    <t>Compras de mercancías</t>
  </si>
  <si>
    <t>Iva pagado por anticipado</t>
  </si>
  <si>
    <t>Costos de operación</t>
  </si>
  <si>
    <t>Mano de obra directa</t>
  </si>
  <si>
    <t>Costos indirectos</t>
  </si>
  <si>
    <t>Gastos</t>
  </si>
  <si>
    <t>Gastos de funcionamiento</t>
  </si>
  <si>
    <t>Gastos en personal</t>
  </si>
  <si>
    <t>Servicios públicos</t>
  </si>
  <si>
    <t>Servicios privados</t>
  </si>
  <si>
    <t>Servicios publicidad</t>
  </si>
  <si>
    <t>Gastos de viaje y transporte</t>
  </si>
  <si>
    <t>Seguros</t>
  </si>
  <si>
    <t>Mantenimiento y reparaciones</t>
  </si>
  <si>
    <t>N° Transacción</t>
  </si>
  <si>
    <t>Fecha</t>
  </si>
  <si>
    <t>Concepto</t>
  </si>
  <si>
    <t>N° Cuenta</t>
  </si>
  <si>
    <t>Nombre de la cuenta</t>
  </si>
  <si>
    <t>Debe</t>
  </si>
  <si>
    <t>Haber</t>
  </si>
  <si>
    <t>Libro diario</t>
  </si>
  <si>
    <t>Salarios supervisión</t>
  </si>
  <si>
    <t>Salarios oficina</t>
  </si>
  <si>
    <t>Mano de obra indirecta</t>
  </si>
  <si>
    <t>Materiales indirectos</t>
  </si>
  <si>
    <t>Suministros</t>
  </si>
  <si>
    <t>Herramientas</t>
  </si>
  <si>
    <t>Otros materiales</t>
  </si>
  <si>
    <t>Depreciación</t>
  </si>
  <si>
    <t>Impuestos</t>
  </si>
  <si>
    <t>N° transacción</t>
  </si>
  <si>
    <t>Libro Mayor</t>
  </si>
  <si>
    <t>Código</t>
  </si>
  <si>
    <t>Numero de transacción</t>
  </si>
  <si>
    <t>Codigo</t>
  </si>
  <si>
    <t>Saldo deudor</t>
  </si>
  <si>
    <t>Saldo acreedor</t>
  </si>
  <si>
    <t>Total:</t>
  </si>
  <si>
    <t>SALARIOS-PRESTACIONES</t>
  </si>
  <si>
    <t>VALOR</t>
  </si>
  <si>
    <t>TOTAL (SEMANAL)</t>
  </si>
  <si>
    <t>Costo real de mano de obra de empleados.</t>
  </si>
  <si>
    <t>SEPTIMO</t>
  </si>
  <si>
    <t>(7 Dias * Salario)</t>
  </si>
  <si>
    <t>AGUINALDO SEMANAL</t>
  </si>
  <si>
    <t>(DIAS DE AGUINALDO * SALARIO DIARIO)/52</t>
  </si>
  <si>
    <t>VACACION SEMANAL</t>
  </si>
  <si>
    <t>((DIAS DE VACACION * SALARIO DIARIO) + (RECARGO DE VACACION))/52</t>
  </si>
  <si>
    <t>SALUD SEMANAL</t>
  </si>
  <si>
    <t>( SEPTIMO + VACACIONES) * % SEGURO SOCIAL</t>
  </si>
  <si>
    <t>AFP SEMANAL</t>
  </si>
  <si>
    <t>( SEPTIMO + VACACIONES) * % AFP</t>
  </si>
  <si>
    <t>INSAFORP SEMANAL</t>
  </si>
  <si>
    <t>( SEPTIMO + VACACIONES) * 1%</t>
  </si>
  <si>
    <t>TOTAL</t>
  </si>
  <si>
    <t>TOTAL POR DIA</t>
  </si>
  <si>
    <t>TOTAL POR HORA</t>
  </si>
  <si>
    <t>FACTOR DE RECARGO  DIA, HORA, SEMANA</t>
  </si>
  <si>
    <t>FACTOR DE RECARGO</t>
  </si>
  <si>
    <t>TOTAL MANO DE OBRA REAL</t>
  </si>
  <si>
    <t>SALARIO NOMINAL</t>
  </si>
  <si>
    <t>FACTOR</t>
  </si>
  <si>
    <t>DIA</t>
  </si>
  <si>
    <t>HORA</t>
  </si>
  <si>
    <t>SEMANA</t>
  </si>
  <si>
    <t>FACTOR DE RECARGO CON EFICIENCIA  DIA, HORA, SEMANA</t>
  </si>
  <si>
    <t>SALARIO NOMINAL CON EFICIENCIA</t>
  </si>
  <si>
    <t>AUMENTO EN CENTAVOS POR INEFICIENCIA DE TRABAJADOR</t>
  </si>
  <si>
    <t>Software solutions</t>
  </si>
  <si>
    <t>Cátalogo de cuentas de costos indirectos</t>
  </si>
  <si>
    <t>Departamentos de la organización</t>
  </si>
  <si>
    <t>CODIGO</t>
  </si>
  <si>
    <t>NOMBRE DE LA CUENTA</t>
  </si>
  <si>
    <t>MONTO</t>
  </si>
  <si>
    <t>Departamentos</t>
  </si>
  <si>
    <t>Espacio pies^2</t>
  </si>
  <si>
    <t># de empleados</t>
  </si>
  <si>
    <t>KwH</t>
  </si>
  <si>
    <t>Horas-Hombres</t>
  </si>
  <si>
    <t>Departamentos productivos</t>
  </si>
  <si>
    <t>Análisis</t>
  </si>
  <si>
    <t>Diseño</t>
  </si>
  <si>
    <t>Desarrollo</t>
  </si>
  <si>
    <t>Pruebas</t>
  </si>
  <si>
    <t>Mantenimiento</t>
  </si>
  <si>
    <t>Departamentos de servicios</t>
  </si>
  <si>
    <t>Calidad</t>
  </si>
  <si>
    <t>Insumos y materiales</t>
  </si>
  <si>
    <t>Mantenimiento de computadoras</t>
  </si>
  <si>
    <t>Infraestructura y limpieza</t>
  </si>
  <si>
    <t>Total</t>
  </si>
  <si>
    <t>Cálculos de costos indirectos de fabricación de Software solutions</t>
  </si>
  <si>
    <t>DESCRIPCIÓN</t>
  </si>
  <si>
    <t>Centro de costos productivos</t>
  </si>
  <si>
    <t>Centro de costos de servicios</t>
  </si>
  <si>
    <t>CUENTA</t>
  </si>
  <si>
    <t>Anális</t>
  </si>
  <si>
    <t>Tasas predeterminadas de Software solutions</t>
  </si>
  <si>
    <t>Departamentos productivos de Software solutions</t>
  </si>
  <si>
    <t>Tasa del departamento de análisis</t>
  </si>
  <si>
    <t>CIF/Espacio pies^2</t>
  </si>
  <si>
    <t>Tasa del departamento de diseño</t>
  </si>
  <si>
    <t>Tasa del departamento de desarrollo</t>
  </si>
  <si>
    <t>Tasa del departamento de pruebas</t>
  </si>
  <si>
    <t>Tasa del departamento de mantenimiento</t>
  </si>
  <si>
    <t>Departamentos de servicios de Software solutions</t>
  </si>
  <si>
    <t>Tasa del departamento de calidad</t>
  </si>
  <si>
    <t>Tasa del departamento de insumos y materiales</t>
  </si>
  <si>
    <t>Tasa del departamento de infraestructura y limpieza</t>
  </si>
  <si>
    <t>Tasa del departamento de mantenimiento de computadoras</t>
  </si>
  <si>
    <t>CIF/# de empleados</t>
  </si>
  <si>
    <t>CIF/KwH</t>
  </si>
  <si>
    <t>CIF/H-H</t>
  </si>
  <si>
    <t>Horas - Hombres</t>
  </si>
  <si>
    <t>Catalogo de cuentas</t>
  </si>
  <si>
    <t>Activo corriente</t>
  </si>
  <si>
    <t>Disponible restringidos</t>
  </si>
  <si>
    <t>Renta</t>
  </si>
  <si>
    <t>Gastos pagados por anticipado</t>
  </si>
  <si>
    <t>Almacen</t>
  </si>
  <si>
    <t>Activo no corrientes</t>
  </si>
  <si>
    <t>Equipo de oficina</t>
  </si>
  <si>
    <t>Equipo de computación</t>
  </si>
  <si>
    <t>Cuentas por cobras</t>
  </si>
  <si>
    <t>Insumos</t>
  </si>
  <si>
    <t>Insumos intangibles</t>
  </si>
  <si>
    <t>Pasivo</t>
  </si>
  <si>
    <t>Pasivo corrientes</t>
  </si>
  <si>
    <t>Pasivo no corrientes</t>
  </si>
  <si>
    <t>Préstamos bancarios</t>
  </si>
  <si>
    <t>Patrimonio neto</t>
  </si>
  <si>
    <t>Capital</t>
  </si>
  <si>
    <t>Resultados</t>
  </si>
  <si>
    <t>Costo total</t>
  </si>
  <si>
    <t>Mano de obra real</t>
  </si>
  <si>
    <t>Costos indirectos de fabricación</t>
  </si>
  <si>
    <t>Costo Total</t>
  </si>
  <si>
    <t>No hay perdidas ni ganancias del ejercicio</t>
  </si>
  <si>
    <t>Pérdidas</t>
  </si>
  <si>
    <t>Compra</t>
  </si>
  <si>
    <t>Balance de comprobación</t>
  </si>
  <si>
    <t>Estado de resultado</t>
  </si>
  <si>
    <t>10 28 2021</t>
  </si>
  <si>
    <t>AGREGAR PROVEEDORES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</si>
</sst>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44" formatCode="_-&quot;$&quot;* #,##0.00_-;\-&quot;$&quot;* #,##0.00_-;_-&quot;$&quot;* &quot;-&quot;??_-;_-@_-"/>
    <numFmt numFmtId="164" formatCode="_(* #,###.00_);_(* \(#,###.00\);_(* &quot;-&quot;??_);_(@_)"/>
    <numFmt numFmtId="165" formatCode="_(* #,###.00_);_(* #,###.00;_(* &quot;-&quot;??_);_(@_)"/>
    <numFmt numFmtId="166" formatCode="&quot;$&quot;#,##0.00_);\(&quot;$&quot;#,##0.00\)"/>
    <numFmt numFmtId="167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DBDDB"/>
        <bgColor indexed="64"/>
      </patternFill>
    </fill>
    <fill>
      <patternFill patternType="solid">
        <fgColor rgb="FFCADCE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thin">
        <color rgb="FF010000"/>
      </right>
      <top style="thin">
        <color indexed="64"/>
      </top>
      <bottom style="thin">
        <color rgb="FF010000"/>
      </bottom>
      <diagonal/>
    </border>
    <border>
      <left style="hair">
        <color indexed="8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thin">
        <color indexed="64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thin">
        <color rgb="FF010000"/>
      </left>
      <right style="thin">
        <color rgb="FF010000"/>
      </right>
      <top style="thin">
        <color indexed="64"/>
      </top>
      <bottom style="thin">
        <color rgb="FF010000"/>
      </bottom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thin">
        <color indexed="64"/>
      </right>
      <top style="thin">
        <color rgb="FFBEBEBE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10000"/>
      </right>
      <top style="thin">
        <color rgb="FF010000"/>
      </top>
      <bottom style="thin">
        <color rgb="FF010000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2" xfId="0" applyNumberFormat="1" applyFill="1" applyBorder="1" applyAlignment="1">
      <alignment horizontal="left"/>
    </xf>
    <xf numFmtId="0" fontId="0" fillId="3" borderId="3" xfId="0" applyNumberFormat="1" applyFill="1" applyBorder="1" applyAlignment="1">
      <alignment horizontal="left"/>
    </xf>
    <xf numFmtId="0" fontId="0" fillId="2" borderId="3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4" borderId="1" xfId="0" applyFill="1" applyBorder="1"/>
    <xf numFmtId="0" fontId="0" fillId="2" borderId="4" xfId="0" applyNumberFormat="1" applyFill="1" applyBorder="1" applyAlignment="1">
      <alignment horizontal="left"/>
    </xf>
    <xf numFmtId="0" fontId="0" fillId="3" borderId="4" xfId="0" applyNumberFormat="1" applyFill="1" applyBorder="1" applyAlignment="1">
      <alignment horizontal="left"/>
    </xf>
    <xf numFmtId="0" fontId="0" fillId="2" borderId="5" xfId="0" applyFill="1" applyBorder="1"/>
    <xf numFmtId="0" fontId="0" fillId="3" borderId="6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Fill="1" applyBorder="1"/>
    <xf numFmtId="0" fontId="0" fillId="0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6" xfId="0" applyFill="1" applyBorder="1"/>
    <xf numFmtId="2" fontId="0" fillId="0" borderId="0" xfId="0" applyNumberFormat="1"/>
    <xf numFmtId="14" fontId="0" fillId="0" borderId="0" xfId="0" applyNumberFormat="1"/>
    <xf numFmtId="44" fontId="0" fillId="0" borderId="0" xfId="0" applyNumberFormat="1"/>
    <xf numFmtId="44" fontId="0" fillId="0" borderId="0" xfId="0" applyNumberFormat="1" applyFill="1" applyBorder="1"/>
    <xf numFmtId="0" fontId="0" fillId="6" borderId="1" xfId="0" applyFill="1" applyBorder="1"/>
    <xf numFmtId="44" fontId="0" fillId="6" borderId="1" xfId="0" applyNumberFormat="1" applyFill="1" applyBorder="1"/>
    <xf numFmtId="44" fontId="2" fillId="0" borderId="0" xfId="0" applyNumberFormat="1" applyFont="1"/>
    <xf numFmtId="0" fontId="0" fillId="0" borderId="10" xfId="0" applyBorder="1"/>
    <xf numFmtId="44" fontId="2" fillId="6" borderId="1" xfId="0" applyNumberFormat="1" applyFont="1" applyFill="1" applyBorder="1"/>
    <xf numFmtId="44" fontId="2" fillId="6" borderId="11" xfId="0" applyNumberFormat="1" applyFont="1" applyFill="1" applyBorder="1"/>
    <xf numFmtId="0" fontId="2" fillId="6" borderId="1" xfId="0" applyFont="1" applyFill="1" applyBorder="1"/>
    <xf numFmtId="0" fontId="5" fillId="7" borderId="0" xfId="0" applyFont="1" applyFill="1" applyAlignment="1">
      <alignment horizontal="center"/>
    </xf>
    <xf numFmtId="0" fontId="6" fillId="0" borderId="0" xfId="0" applyFont="1" applyBorder="1" applyAlignment="1">
      <alignment horizontal="center" vertical="center"/>
    </xf>
    <xf numFmtId="44" fontId="6" fillId="0" borderId="0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44" fontId="6" fillId="0" borderId="13" xfId="0" applyNumberFormat="1" applyFont="1" applyBorder="1" applyAlignment="1">
      <alignment horizontal="center" vertical="center"/>
    </xf>
    <xf numFmtId="44" fontId="5" fillId="8" borderId="0" xfId="0" applyNumberFormat="1" applyFont="1" applyFill="1" applyAlignment="1">
      <alignment horizontal="center"/>
    </xf>
    <xf numFmtId="44" fontId="0" fillId="0" borderId="0" xfId="0" applyNumberFormat="1" applyBorder="1"/>
    <xf numFmtId="44" fontId="0" fillId="0" borderId="12" xfId="0" applyNumberFormat="1" applyBorder="1"/>
    <xf numFmtId="44" fontId="0" fillId="0" borderId="13" xfId="0" applyNumberFormat="1" applyBorder="1"/>
    <xf numFmtId="164" fontId="2" fillId="9" borderId="12" xfId="0" applyNumberFormat="1" applyFont="1" applyFill="1" applyBorder="1"/>
    <xf numFmtId="164" fontId="2" fillId="9" borderId="0" xfId="0" applyNumberFormat="1" applyFont="1" applyFill="1" applyBorder="1"/>
    <xf numFmtId="164" fontId="2" fillId="9" borderId="13" xfId="0" applyNumberFormat="1" applyFont="1" applyFill="1" applyBorder="1"/>
    <xf numFmtId="164" fontId="5" fillId="9" borderId="12" xfId="0" applyNumberFormat="1" applyFont="1" applyFill="1" applyBorder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64" fontId="5" fillId="9" borderId="13" xfId="0" applyNumberFormat="1" applyFont="1" applyFill="1" applyBorder="1" applyAlignment="1">
      <alignment horizontal="center" vertical="center"/>
    </xf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5" fillId="7" borderId="14" xfId="0" applyFont="1" applyFill="1" applyBorder="1" applyAlignment="1">
      <alignment horizontal="center"/>
    </xf>
    <xf numFmtId="165" fontId="5" fillId="8" borderId="0" xfId="0" applyNumberFormat="1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0" fillId="8" borderId="0" xfId="0" applyFill="1"/>
    <xf numFmtId="0" fontId="2" fillId="8" borderId="0" xfId="0" applyFont="1" applyFill="1"/>
    <xf numFmtId="0" fontId="5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7" fontId="0" fillId="0" borderId="1" xfId="0" applyNumberFormat="1" applyBorder="1" applyAlignment="1">
      <alignment horizontal="left"/>
    </xf>
    <xf numFmtId="166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3" borderId="7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2" fillId="3" borderId="0" xfId="0" applyFont="1" applyFill="1" applyAlignment="1">
      <alignment vertical="center"/>
    </xf>
    <xf numFmtId="0" fontId="0" fillId="3" borderId="0" xfId="0" applyFill="1" applyAlignment="1"/>
    <xf numFmtId="0" fontId="2" fillId="7" borderId="7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0" borderId="1" xfId="0" applyNumberFormat="1" applyBorder="1"/>
    <xf numFmtId="166" fontId="0" fillId="8" borderId="1" xfId="0" applyNumberFormat="1" applyFill="1" applyBorder="1"/>
    <xf numFmtId="0" fontId="0" fillId="0" borderId="1" xfId="0" applyBorder="1"/>
    <xf numFmtId="0" fontId="0" fillId="0" borderId="16" xfId="0" applyBorder="1" applyAlignment="1">
      <alignment horizontal="left"/>
    </xf>
    <xf numFmtId="0" fontId="0" fillId="3" borderId="7" xfId="0" applyFill="1" applyBorder="1" applyAlignment="1">
      <alignment horizontal="left"/>
    </xf>
    <xf numFmtId="0" fontId="2" fillId="3" borderId="8" xfId="0" applyFont="1" applyFill="1" applyBorder="1" applyAlignment="1">
      <alignment horizontal="center"/>
    </xf>
    <xf numFmtId="0" fontId="0" fillId="8" borderId="1" xfId="0" applyFill="1" applyBorder="1"/>
    <xf numFmtId="0" fontId="0" fillId="0" borderId="19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2" fillId="8" borderId="1" xfId="0" applyFont="1" applyFill="1" applyBorder="1" applyAlignment="1">
      <alignment horizontal="center" vertical="center"/>
    </xf>
    <xf numFmtId="167" fontId="0" fillId="0" borderId="1" xfId="0" applyNumberFormat="1" applyBorder="1"/>
    <xf numFmtId="0" fontId="0" fillId="10" borderId="0" xfId="0" applyFill="1"/>
    <xf numFmtId="0" fontId="3" fillId="0" borderId="0" xfId="0" applyFont="1" applyFill="1" applyBorder="1" applyAlignment="1">
      <alignment vertical="center"/>
    </xf>
    <xf numFmtId="0" fontId="0" fillId="4" borderId="16" xfId="0" applyFill="1" applyBorder="1" applyAlignment="1"/>
    <xf numFmtId="0" fontId="0" fillId="0" borderId="3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167" fontId="0" fillId="0" borderId="24" xfId="0" applyNumberFormat="1" applyBorder="1"/>
    <xf numFmtId="167" fontId="0" fillId="0" borderId="26" xfId="0" applyNumberFormat="1" applyBorder="1"/>
    <xf numFmtId="167" fontId="0" fillId="0" borderId="0" xfId="0" applyNumberFormat="1"/>
    <xf numFmtId="166" fontId="0" fillId="0" borderId="0" xfId="0" applyNumberFormat="1"/>
    <xf numFmtId="0" fontId="2" fillId="6" borderId="1" xfId="0" applyFont="1" applyFill="1" applyBorder="1" applyAlignment="1">
      <alignment horizontal="center"/>
    </xf>
    <xf numFmtId="0" fontId="0" fillId="0" borderId="28" xfId="0" applyNumberFormat="1" applyFill="1" applyBorder="1" applyAlignment="1">
      <alignment horizontal="left"/>
    </xf>
    <xf numFmtId="0" fontId="9" fillId="11" borderId="3" xfId="0" applyNumberFormat="1" applyFont="1" applyFill="1" applyBorder="1" applyAlignment="1">
      <alignment horizontal="left" vertical="center"/>
    </xf>
    <xf numFmtId="0" fontId="9" fillId="11" borderId="6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44" fontId="2" fillId="0" borderId="10" xfId="0" applyNumberFormat="1" applyFont="1" applyBorder="1"/>
    <xf numFmtId="7" fontId="0" fillId="6" borderId="1" xfId="0" applyNumberForma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8" fillId="7" borderId="16" xfId="0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7" borderId="2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 vertical="center"/>
    </xf>
    <xf numFmtId="0" fontId="2" fillId="8" borderId="15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25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2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</xdr:row>
          <xdr:rowOff>114300</xdr:rowOff>
        </xdr:from>
        <xdr:to>
          <xdr:col>4</xdr:col>
          <xdr:colOff>628650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 catalogo de cuentas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781050</xdr:colOff>
          <xdr:row>2</xdr:row>
          <xdr:rowOff>19050</xdr:rowOff>
        </xdr:from>
        <xdr:to>
          <xdr:col>10</xdr:col>
          <xdr:colOff>438150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transacción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1</xdr:row>
          <xdr:rowOff>57150</xdr:rowOff>
        </xdr:from>
        <xdr:to>
          <xdr:col>8</xdr:col>
          <xdr:colOff>552450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libro mayor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1</xdr:row>
          <xdr:rowOff>57150</xdr:rowOff>
        </xdr:from>
        <xdr:to>
          <xdr:col>9</xdr:col>
          <xdr:colOff>514350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balance de comprobación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104775</xdr:rowOff>
        </xdr:from>
        <xdr:to>
          <xdr:col>8</xdr:col>
          <xdr:colOff>28575</xdr:colOff>
          <xdr:row>5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estado de resultado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4</xdr:row>
          <xdr:rowOff>47625</xdr:rowOff>
        </xdr:from>
        <xdr:to>
          <xdr:col>6</xdr:col>
          <xdr:colOff>600075</xdr:colOff>
          <xdr:row>5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mano de obra real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6</xdr:row>
          <xdr:rowOff>161925</xdr:rowOff>
        </xdr:from>
        <xdr:to>
          <xdr:col>6</xdr:col>
          <xdr:colOff>619125</xdr:colOff>
          <xdr:row>8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</xdr:colOff>
          <xdr:row>4</xdr:row>
          <xdr:rowOff>171450</xdr:rowOff>
        </xdr:from>
        <xdr:to>
          <xdr:col>3</xdr:col>
          <xdr:colOff>1495425</xdr:colOff>
          <xdr:row>7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monto de cuentas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9525</xdr:rowOff>
        </xdr:from>
        <xdr:to>
          <xdr:col>10</xdr:col>
          <xdr:colOff>771525</xdr:colOff>
          <xdr:row>6</xdr:row>
          <xdr:rowOff>57150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información de departamentos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6</xdr:row>
          <xdr:rowOff>133350</xdr:rowOff>
        </xdr:from>
        <xdr:to>
          <xdr:col>10</xdr:col>
          <xdr:colOff>809625</xdr:colOff>
          <xdr:row>9</xdr:row>
          <xdr:rowOff>57150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información de departamentos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</xdr:colOff>
          <xdr:row>9</xdr:row>
          <xdr:rowOff>57150</xdr:rowOff>
        </xdr:from>
        <xdr:to>
          <xdr:col>3</xdr:col>
          <xdr:colOff>1504950</xdr:colOff>
          <xdr:row>11</xdr:row>
          <xdr:rowOff>171450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montos de cuentas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20</xdr:row>
          <xdr:rowOff>180975</xdr:rowOff>
        </xdr:from>
        <xdr:to>
          <xdr:col>8</xdr:col>
          <xdr:colOff>1295400</xdr:colOff>
          <xdr:row>22</xdr:row>
          <xdr:rowOff>180975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49</xdr:row>
          <xdr:rowOff>180975</xdr:rowOff>
        </xdr:from>
        <xdr:to>
          <xdr:col>8</xdr:col>
          <xdr:colOff>1295400</xdr:colOff>
          <xdr:row>51</xdr:row>
          <xdr:rowOff>180975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 tasa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17</xdr:row>
          <xdr:rowOff>0</xdr:rowOff>
        </xdr:from>
        <xdr:to>
          <xdr:col>11</xdr:col>
          <xdr:colOff>19050</xdr:colOff>
          <xdr:row>19</xdr:row>
          <xdr:rowOff>19050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nuevo CIF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</xdr:row>
          <xdr:rowOff>133350</xdr:rowOff>
        </xdr:from>
        <xdr:to>
          <xdr:col>5</xdr:col>
          <xdr:colOff>28575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costo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5</xdr:row>
          <xdr:rowOff>19050</xdr:rowOff>
        </xdr:from>
        <xdr:to>
          <xdr:col>5</xdr:col>
          <xdr:colOff>38100</xdr:colOff>
          <xdr:row>7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70"/>
  <sheetViews>
    <sheetView topLeftCell="A16" zoomScaleNormal="100" workbookViewId="0">
      <selection activeCell="I35" sqref="I35"/>
    </sheetView>
  </sheetViews>
  <sheetFormatPr baseColWidth="10" defaultRowHeight="15" x14ac:dyDescent="0.25"/>
  <cols>
    <col min="2" max="2" width="32.85546875" bestFit="1" customWidth="1"/>
  </cols>
  <sheetData>
    <row r="1" spans="1:4" ht="14.45" customHeight="1" x14ac:dyDescent="0.25">
      <c r="A1" s="94" t="s">
        <v>0</v>
      </c>
      <c r="B1" s="95"/>
      <c r="C1" s="78"/>
      <c r="D1" s="78"/>
    </row>
    <row r="2" spans="1:4" ht="12" customHeight="1" x14ac:dyDescent="0.25">
      <c r="A2" s="94" t="s">
        <v>136</v>
      </c>
      <c r="B2" s="95"/>
      <c r="C2" s="78"/>
      <c r="D2" s="78"/>
    </row>
    <row r="3" spans="1:4" ht="14.45" customHeight="1" x14ac:dyDescent="0.25">
      <c r="A3" s="79" t="s">
        <v>93</v>
      </c>
      <c r="B3" s="79" t="s">
        <v>94</v>
      </c>
      <c r="C3" s="78"/>
      <c r="D3" s="78"/>
    </row>
    <row r="4" spans="1:4" ht="14.45" customHeight="1" x14ac:dyDescent="0.25">
      <c r="A4" s="1">
        <v>1</v>
      </c>
      <c r="B4" s="8" t="s">
        <v>1</v>
      </c>
      <c r="C4" s="78"/>
      <c r="D4" s="78"/>
    </row>
    <row r="5" spans="1:4" ht="14.45" customHeight="1" x14ac:dyDescent="0.25">
      <c r="A5" s="2">
        <v>11</v>
      </c>
      <c r="B5" s="9" t="s">
        <v>137</v>
      </c>
      <c r="C5" s="78"/>
      <c r="D5" s="78"/>
    </row>
    <row r="6" spans="1:4" ht="14.45" customHeight="1" x14ac:dyDescent="0.25">
      <c r="A6" s="80">
        <v>111</v>
      </c>
      <c r="B6" s="81" t="s">
        <v>2</v>
      </c>
      <c r="C6" s="78"/>
      <c r="D6" s="78"/>
    </row>
    <row r="7" spans="1:4" ht="14.45" customHeight="1" x14ac:dyDescent="0.25">
      <c r="A7" s="80">
        <v>112</v>
      </c>
      <c r="B7" s="81" t="s">
        <v>3</v>
      </c>
      <c r="C7" s="78"/>
      <c r="D7" s="78"/>
    </row>
    <row r="8" spans="1:4" ht="14.45" customHeight="1" x14ac:dyDescent="0.25">
      <c r="A8" s="80">
        <v>113</v>
      </c>
      <c r="B8" s="81" t="s">
        <v>138</v>
      </c>
      <c r="C8" s="78"/>
      <c r="D8" s="78"/>
    </row>
    <row r="9" spans="1:4" ht="14.45" customHeight="1" x14ac:dyDescent="0.25">
      <c r="A9" s="80">
        <v>114</v>
      </c>
      <c r="B9" s="81" t="s">
        <v>4</v>
      </c>
      <c r="C9" s="78"/>
      <c r="D9" s="78"/>
    </row>
    <row r="10" spans="1:4" ht="14.45" customHeight="1" x14ac:dyDescent="0.25">
      <c r="A10" s="80">
        <v>115</v>
      </c>
      <c r="B10" s="81" t="s">
        <v>139</v>
      </c>
      <c r="C10" s="78"/>
      <c r="D10" s="78"/>
    </row>
    <row r="11" spans="1:4" ht="14.45" customHeight="1" x14ac:dyDescent="0.25">
      <c r="A11" s="4">
        <v>116</v>
      </c>
      <c r="B11" s="10" t="s">
        <v>140</v>
      </c>
      <c r="C11" s="78"/>
      <c r="D11" s="78"/>
    </row>
    <row r="12" spans="1:4" ht="14.45" customHeight="1" x14ac:dyDescent="0.25">
      <c r="A12" s="4">
        <v>117</v>
      </c>
      <c r="B12" s="10" t="s">
        <v>141</v>
      </c>
      <c r="C12" s="78"/>
      <c r="D12" s="78"/>
    </row>
    <row r="13" spans="1:4" ht="14.45" customHeight="1" x14ac:dyDescent="0.25">
      <c r="A13" s="2">
        <v>12</v>
      </c>
      <c r="B13" s="9" t="s">
        <v>142</v>
      </c>
      <c r="C13" s="78"/>
      <c r="D13" s="78"/>
    </row>
    <row r="14" spans="1:4" ht="14.45" customHeight="1" x14ac:dyDescent="0.25">
      <c r="A14" s="4">
        <v>121</v>
      </c>
      <c r="B14" s="10" t="s">
        <v>143</v>
      </c>
      <c r="C14" s="78"/>
      <c r="D14" s="78"/>
    </row>
    <row r="15" spans="1:4" ht="14.45" customHeight="1" x14ac:dyDescent="0.25">
      <c r="A15" s="4">
        <v>122</v>
      </c>
      <c r="B15" s="10" t="s">
        <v>144</v>
      </c>
      <c r="C15" s="78"/>
      <c r="D15" s="78"/>
    </row>
    <row r="16" spans="1:4" ht="14.45" customHeight="1" x14ac:dyDescent="0.25">
      <c r="A16" s="4">
        <v>123</v>
      </c>
      <c r="B16" s="10" t="s">
        <v>6</v>
      </c>
      <c r="C16" s="78"/>
      <c r="D16" s="78"/>
    </row>
    <row r="17" spans="1:4" ht="14.45" customHeight="1" x14ac:dyDescent="0.25">
      <c r="A17" s="4">
        <v>124</v>
      </c>
      <c r="B17" s="10" t="s">
        <v>145</v>
      </c>
      <c r="C17" s="78"/>
      <c r="D17" s="78"/>
    </row>
    <row r="18" spans="1:4" ht="14.45" customHeight="1" x14ac:dyDescent="0.25">
      <c r="A18" s="4">
        <v>125</v>
      </c>
      <c r="B18" s="10" t="s">
        <v>146</v>
      </c>
      <c r="C18" s="78"/>
      <c r="D18" s="78"/>
    </row>
    <row r="19" spans="1:4" ht="14.45" customHeight="1" x14ac:dyDescent="0.25">
      <c r="A19" s="4">
        <v>126</v>
      </c>
      <c r="B19" s="10" t="s">
        <v>147</v>
      </c>
      <c r="C19" s="78"/>
      <c r="D19" s="78"/>
    </row>
    <row r="20" spans="1:4" ht="14.45" customHeight="1" x14ac:dyDescent="0.25">
      <c r="A20" s="3">
        <v>2</v>
      </c>
      <c r="B20" s="13" t="s">
        <v>148</v>
      </c>
      <c r="C20" s="78"/>
      <c r="D20" s="78"/>
    </row>
    <row r="21" spans="1:4" ht="14.45" customHeight="1" x14ac:dyDescent="0.25">
      <c r="A21" s="2">
        <v>21</v>
      </c>
      <c r="B21" s="14" t="s">
        <v>149</v>
      </c>
      <c r="C21" s="78"/>
      <c r="D21" s="78"/>
    </row>
    <row r="22" spans="1:4" ht="14.45" customHeight="1" x14ac:dyDescent="0.25">
      <c r="A22" s="4">
        <v>211</v>
      </c>
      <c r="B22" s="10" t="s">
        <v>7</v>
      </c>
      <c r="C22" s="78"/>
      <c r="D22" s="78"/>
    </row>
    <row r="23" spans="1:4" ht="14.45" customHeight="1" x14ac:dyDescent="0.25">
      <c r="A23" s="4">
        <v>212</v>
      </c>
      <c r="B23" s="10" t="s">
        <v>8</v>
      </c>
      <c r="C23" s="78"/>
      <c r="D23" s="78" t="s">
        <v>165</v>
      </c>
    </row>
    <row r="24" spans="1:4" ht="14.45" customHeight="1" x14ac:dyDescent="0.25">
      <c r="A24" s="4">
        <v>22</v>
      </c>
      <c r="B24" s="10" t="s">
        <v>150</v>
      </c>
      <c r="C24" s="78"/>
      <c r="D24" s="78"/>
    </row>
    <row r="25" spans="1:4" ht="14.45" customHeight="1" x14ac:dyDescent="0.25">
      <c r="A25" s="4">
        <v>221</v>
      </c>
      <c r="B25" s="10" t="s">
        <v>151</v>
      </c>
      <c r="C25" s="78"/>
      <c r="D25" s="78"/>
    </row>
    <row r="26" spans="1:4" ht="14.45" customHeight="1" x14ac:dyDescent="0.25">
      <c r="A26" s="4">
        <v>222</v>
      </c>
      <c r="B26" s="10" t="s">
        <v>9</v>
      </c>
      <c r="C26" s="78"/>
      <c r="D26" s="78"/>
    </row>
    <row r="27" spans="1:4" ht="14.45" customHeight="1" x14ac:dyDescent="0.25">
      <c r="A27" s="3">
        <v>3</v>
      </c>
      <c r="B27" s="13" t="s">
        <v>152</v>
      </c>
      <c r="C27" s="78"/>
      <c r="D27" s="78"/>
    </row>
    <row r="28" spans="1:4" ht="14.45" customHeight="1" x14ac:dyDescent="0.25">
      <c r="A28" s="2">
        <v>31</v>
      </c>
      <c r="B28" s="14" t="s">
        <v>153</v>
      </c>
      <c r="C28" s="78"/>
      <c r="D28" s="78"/>
    </row>
    <row r="29" spans="1:4" ht="14.45" customHeight="1" x14ac:dyDescent="0.25">
      <c r="A29" s="4">
        <v>311</v>
      </c>
      <c r="B29" s="10" t="s">
        <v>10</v>
      </c>
      <c r="C29" s="78"/>
      <c r="D29" s="78"/>
    </row>
    <row r="30" spans="1:4" ht="14.45" customHeight="1" x14ac:dyDescent="0.25">
      <c r="A30" s="2">
        <v>32</v>
      </c>
      <c r="B30" s="9" t="s">
        <v>11</v>
      </c>
      <c r="C30" s="78"/>
      <c r="D30" s="78"/>
    </row>
    <row r="31" spans="1:4" ht="14.45" customHeight="1" x14ac:dyDescent="0.25">
      <c r="A31" s="4">
        <v>321</v>
      </c>
      <c r="B31" s="10" t="s">
        <v>11</v>
      </c>
      <c r="C31" s="78"/>
      <c r="D31" s="78"/>
    </row>
    <row r="32" spans="1:4" ht="14.45" customHeight="1" x14ac:dyDescent="0.25">
      <c r="A32" s="2">
        <v>33</v>
      </c>
      <c r="B32" s="9" t="s">
        <v>154</v>
      </c>
      <c r="C32" s="78"/>
      <c r="D32" s="78"/>
    </row>
    <row r="33" spans="1:4" ht="14.45" customHeight="1" x14ac:dyDescent="0.25">
      <c r="A33" s="4">
        <v>331</v>
      </c>
      <c r="B33" s="10" t="s">
        <v>12</v>
      </c>
      <c r="C33" s="78"/>
      <c r="D33" s="78"/>
    </row>
    <row r="34" spans="1:4" ht="14.45" customHeight="1" x14ac:dyDescent="0.25">
      <c r="A34" s="4">
        <v>332</v>
      </c>
      <c r="B34" s="10" t="s">
        <v>13</v>
      </c>
      <c r="C34" s="78"/>
      <c r="D34" s="78"/>
    </row>
    <row r="35" spans="1:4" ht="14.45" customHeight="1" x14ac:dyDescent="0.25">
      <c r="A35" s="88">
        <v>333</v>
      </c>
      <c r="B35" s="89" t="s">
        <v>160</v>
      </c>
      <c r="C35" s="78"/>
      <c r="D35" s="78"/>
    </row>
    <row r="36" spans="1:4" ht="14.45" customHeight="1" x14ac:dyDescent="0.25">
      <c r="A36" s="2">
        <v>34</v>
      </c>
      <c r="B36" s="9" t="s">
        <v>14</v>
      </c>
      <c r="C36" s="78"/>
      <c r="D36" s="78"/>
    </row>
    <row r="37" spans="1:4" ht="14.45" customHeight="1" x14ac:dyDescent="0.25">
      <c r="A37" s="4">
        <v>341</v>
      </c>
      <c r="B37" s="10" t="s">
        <v>14</v>
      </c>
      <c r="C37" s="78"/>
      <c r="D37" s="78"/>
    </row>
    <row r="38" spans="1:4" ht="14.45" customHeight="1" x14ac:dyDescent="0.25">
      <c r="A38" s="3">
        <v>4</v>
      </c>
      <c r="B38" s="13" t="s">
        <v>9</v>
      </c>
      <c r="C38" s="78"/>
      <c r="D38" s="78"/>
    </row>
    <row r="39" spans="1:4" ht="14.45" customHeight="1" x14ac:dyDescent="0.25">
      <c r="A39" s="2">
        <v>41</v>
      </c>
      <c r="B39" s="14" t="s">
        <v>15</v>
      </c>
      <c r="C39" s="78"/>
      <c r="D39" s="78"/>
    </row>
    <row r="40" spans="1:4" ht="14.45" customHeight="1" x14ac:dyDescent="0.25">
      <c r="A40" s="4">
        <v>411</v>
      </c>
      <c r="B40" s="10" t="s">
        <v>16</v>
      </c>
      <c r="C40" s="78"/>
      <c r="D40" s="78"/>
    </row>
    <row r="41" spans="1:4" ht="14.45" customHeight="1" x14ac:dyDescent="0.25">
      <c r="A41" s="4">
        <v>412</v>
      </c>
      <c r="B41" s="9" t="s">
        <v>17</v>
      </c>
      <c r="C41" s="78"/>
      <c r="D41" s="78"/>
    </row>
    <row r="42" spans="1:4" ht="14.45" customHeight="1" x14ac:dyDescent="0.25">
      <c r="A42" s="4">
        <v>413</v>
      </c>
      <c r="B42" s="10" t="s">
        <v>18</v>
      </c>
      <c r="C42" s="78"/>
      <c r="D42" s="78"/>
    </row>
    <row r="43" spans="1:4" ht="14.45" customHeight="1" x14ac:dyDescent="0.25">
      <c r="A43" s="3">
        <v>5</v>
      </c>
      <c r="B43" s="13" t="s">
        <v>19</v>
      </c>
      <c r="C43" s="78"/>
      <c r="D43" s="78"/>
    </row>
    <row r="44" spans="1:4" ht="14.45" customHeight="1" x14ac:dyDescent="0.25">
      <c r="A44" s="2">
        <v>51</v>
      </c>
      <c r="B44" s="9" t="s">
        <v>20</v>
      </c>
      <c r="C44" s="78"/>
      <c r="D44" s="78"/>
    </row>
    <row r="45" spans="1:4" ht="14.45" customHeight="1" x14ac:dyDescent="0.25">
      <c r="A45" s="4">
        <v>511</v>
      </c>
      <c r="B45" s="10" t="s">
        <v>20</v>
      </c>
      <c r="C45" s="78"/>
      <c r="D45" s="78"/>
    </row>
    <row r="46" spans="1:4" ht="14.45" customHeight="1" x14ac:dyDescent="0.25">
      <c r="A46" s="4">
        <v>512</v>
      </c>
      <c r="B46" s="11" t="s">
        <v>21</v>
      </c>
      <c r="C46" s="78"/>
      <c r="D46" s="78"/>
    </row>
    <row r="47" spans="1:4" ht="14.45" customHeight="1" x14ac:dyDescent="0.25">
      <c r="A47" s="4">
        <v>513</v>
      </c>
      <c r="B47" s="10" t="s">
        <v>22</v>
      </c>
      <c r="C47" s="78"/>
      <c r="D47" s="78"/>
    </row>
    <row r="48" spans="1:4" ht="14.45" customHeight="1" x14ac:dyDescent="0.25">
      <c r="A48" s="2">
        <v>52</v>
      </c>
      <c r="B48" s="9" t="s">
        <v>23</v>
      </c>
      <c r="C48" s="78"/>
      <c r="D48" s="78"/>
    </row>
    <row r="49" spans="1:4" ht="14.45" customHeight="1" x14ac:dyDescent="0.25">
      <c r="A49" s="4">
        <v>521</v>
      </c>
      <c r="B49" s="10" t="s">
        <v>5</v>
      </c>
      <c r="C49" s="78"/>
      <c r="D49" s="78"/>
    </row>
    <row r="50" spans="1:4" ht="14.45" customHeight="1" x14ac:dyDescent="0.25">
      <c r="A50" s="4">
        <v>522</v>
      </c>
      <c r="B50" s="10" t="s">
        <v>24</v>
      </c>
      <c r="C50" s="78"/>
      <c r="D50" s="78"/>
    </row>
    <row r="51" spans="1:4" ht="14.45" customHeight="1" x14ac:dyDescent="0.25">
      <c r="A51" s="2">
        <v>53</v>
      </c>
      <c r="B51" s="9" t="s">
        <v>25</v>
      </c>
      <c r="C51" s="78"/>
      <c r="D51" s="78"/>
    </row>
    <row r="52" spans="1:4" ht="14.45" customHeight="1" x14ac:dyDescent="0.25">
      <c r="A52" s="4">
        <v>531</v>
      </c>
      <c r="B52" s="10" t="s">
        <v>43</v>
      </c>
      <c r="C52" s="78"/>
      <c r="D52" s="78"/>
    </row>
    <row r="53" spans="1:4" ht="14.45" customHeight="1" x14ac:dyDescent="0.25">
      <c r="A53" s="4">
        <v>532</v>
      </c>
      <c r="B53" s="10" t="s">
        <v>44</v>
      </c>
      <c r="C53" s="78"/>
      <c r="D53" s="78"/>
    </row>
    <row r="54" spans="1:4" ht="14.45" customHeight="1" x14ac:dyDescent="0.25">
      <c r="A54" s="4">
        <v>533</v>
      </c>
      <c r="B54" s="10" t="s">
        <v>45</v>
      </c>
      <c r="C54" s="78"/>
      <c r="D54" s="78"/>
    </row>
    <row r="55" spans="1:4" ht="14.45" customHeight="1" x14ac:dyDescent="0.25">
      <c r="A55" s="4">
        <v>534</v>
      </c>
      <c r="B55" s="10" t="s">
        <v>46</v>
      </c>
      <c r="C55" s="78"/>
      <c r="D55" s="78"/>
    </row>
    <row r="56" spans="1:4" ht="14.45" customHeight="1" x14ac:dyDescent="0.25">
      <c r="A56" s="4">
        <v>535</v>
      </c>
      <c r="B56" s="10" t="s">
        <v>47</v>
      </c>
      <c r="C56" s="78"/>
      <c r="D56" s="78"/>
    </row>
    <row r="57" spans="1:4" ht="14.45" customHeight="1" x14ac:dyDescent="0.25">
      <c r="A57" s="12">
        <v>536</v>
      </c>
      <c r="B57" s="10" t="s">
        <v>48</v>
      </c>
      <c r="C57" s="78"/>
      <c r="D57" s="78"/>
    </row>
    <row r="58" spans="1:4" ht="14.45" customHeight="1" x14ac:dyDescent="0.25">
      <c r="A58" s="12">
        <v>537</v>
      </c>
      <c r="B58" s="11" t="s">
        <v>49</v>
      </c>
      <c r="C58" s="78"/>
      <c r="D58" s="78"/>
    </row>
    <row r="59" spans="1:4" ht="14.45" customHeight="1" x14ac:dyDescent="0.25">
      <c r="A59" s="12">
        <v>538</v>
      </c>
      <c r="B59" s="10" t="s">
        <v>50</v>
      </c>
      <c r="C59" s="78"/>
      <c r="D59" s="78"/>
    </row>
    <row r="60" spans="1:4" ht="14.45" customHeight="1" x14ac:dyDescent="0.25">
      <c r="A60" s="12">
        <v>539</v>
      </c>
      <c r="B60" s="10" t="s">
        <v>51</v>
      </c>
      <c r="C60" s="78"/>
      <c r="D60" s="78"/>
    </row>
    <row r="61" spans="1:4" ht="14.45" customHeight="1" x14ac:dyDescent="0.25">
      <c r="A61" s="6">
        <v>6</v>
      </c>
      <c r="B61" s="13" t="s">
        <v>26</v>
      </c>
      <c r="C61" s="78"/>
      <c r="D61" s="78"/>
    </row>
    <row r="62" spans="1:4" ht="14.45" customHeight="1" x14ac:dyDescent="0.25">
      <c r="A62" s="7">
        <v>61</v>
      </c>
      <c r="B62" s="9" t="s">
        <v>27</v>
      </c>
      <c r="C62" s="78"/>
      <c r="D62" s="78"/>
    </row>
    <row r="63" spans="1:4" ht="14.45" customHeight="1" x14ac:dyDescent="0.25">
      <c r="A63" s="12">
        <v>611</v>
      </c>
      <c r="B63" s="10" t="s">
        <v>28</v>
      </c>
      <c r="C63" s="78"/>
      <c r="D63" s="78"/>
    </row>
    <row r="64" spans="1:4" ht="14.45" customHeight="1" x14ac:dyDescent="0.25">
      <c r="A64" s="12">
        <v>612</v>
      </c>
      <c r="B64" s="10" t="s">
        <v>29</v>
      </c>
      <c r="C64" s="78"/>
      <c r="D64" s="78"/>
    </row>
    <row r="65" spans="1:4" ht="14.45" customHeight="1" x14ac:dyDescent="0.25">
      <c r="A65" s="12">
        <v>613</v>
      </c>
      <c r="B65" s="10" t="s">
        <v>30</v>
      </c>
      <c r="C65" s="78"/>
      <c r="D65" s="78"/>
    </row>
    <row r="66" spans="1:4" ht="14.45" customHeight="1" x14ac:dyDescent="0.25">
      <c r="A66" s="12">
        <v>614</v>
      </c>
      <c r="B66" s="10" t="s">
        <v>31</v>
      </c>
      <c r="C66" s="78"/>
      <c r="D66" s="78"/>
    </row>
    <row r="67" spans="1:4" ht="14.45" customHeight="1" x14ac:dyDescent="0.25">
      <c r="A67" s="87">
        <v>615</v>
      </c>
      <c r="B67" s="10" t="s">
        <v>32</v>
      </c>
      <c r="C67" s="78"/>
      <c r="D67" s="78"/>
    </row>
    <row r="68" spans="1:4" ht="14.45" customHeight="1" x14ac:dyDescent="0.25">
      <c r="A68" s="12">
        <v>616</v>
      </c>
      <c r="B68" s="10" t="s">
        <v>33</v>
      </c>
      <c r="C68" s="78"/>
      <c r="D68" s="78"/>
    </row>
    <row r="69" spans="1:4" ht="14.45" customHeight="1" x14ac:dyDescent="0.25">
      <c r="A69" s="87">
        <v>617</v>
      </c>
      <c r="B69" s="11" t="s">
        <v>34</v>
      </c>
      <c r="C69" s="78"/>
      <c r="D69" s="78"/>
    </row>
    <row r="70" spans="1:4" ht="14.45" customHeight="1" x14ac:dyDescent="0.25">
      <c r="A70" s="78"/>
      <c r="B70" s="78"/>
      <c r="C70" s="78"/>
      <c r="D70" s="78"/>
    </row>
  </sheetData>
  <sortState xmlns:xlrd2="http://schemas.microsoft.com/office/spreadsheetml/2017/richdata2" ref="A5:B69">
    <sortCondition ref="A4"/>
  </sortState>
  <mergeCells count="2">
    <mergeCell ref="A1:B1"/>
    <mergeCell ref="A2:B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FormularioCatalogoCuentas">
                <anchor moveWithCells="1" sizeWithCells="1">
                  <from>
                    <xdr:col>2</xdr:col>
                    <xdr:colOff>552450</xdr:colOff>
                    <xdr:row>2</xdr:row>
                    <xdr:rowOff>114300</xdr:rowOff>
                  </from>
                  <to>
                    <xdr:col>4</xdr:col>
                    <xdr:colOff>628650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2"/>
  <sheetViews>
    <sheetView workbookViewId="0">
      <selection activeCell="C39" sqref="C39"/>
    </sheetView>
  </sheetViews>
  <sheetFormatPr baseColWidth="10" defaultRowHeight="15" x14ac:dyDescent="0.25"/>
  <cols>
    <col min="1" max="1" width="13.28515625" bestFit="1" customWidth="1"/>
    <col min="3" max="3" width="31.85546875" customWidth="1"/>
    <col min="5" max="5" width="18.140625" bestFit="1" customWidth="1"/>
    <col min="6" max="6" width="14.7109375" bestFit="1" customWidth="1"/>
  </cols>
  <sheetData>
    <row r="1" spans="1:10" x14ac:dyDescent="0.25">
      <c r="A1" s="96" t="s">
        <v>0</v>
      </c>
      <c r="B1" s="96"/>
      <c r="C1" s="96"/>
      <c r="D1" s="96"/>
      <c r="E1" s="96"/>
      <c r="F1" s="96"/>
      <c r="G1" s="96"/>
    </row>
    <row r="2" spans="1:10" x14ac:dyDescent="0.25">
      <c r="A2" s="96" t="s">
        <v>42</v>
      </c>
      <c r="B2" s="96"/>
      <c r="C2" s="96"/>
      <c r="D2" s="96"/>
      <c r="E2" s="96"/>
      <c r="F2" s="96"/>
      <c r="G2" s="96"/>
    </row>
    <row r="3" spans="1:10" x14ac:dyDescent="0.25">
      <c r="A3" s="5" t="s">
        <v>35</v>
      </c>
      <c r="B3" s="5" t="s">
        <v>36</v>
      </c>
      <c r="C3" s="5" t="s">
        <v>37</v>
      </c>
      <c r="D3" s="5" t="s">
        <v>38</v>
      </c>
      <c r="E3" s="5" t="s">
        <v>39</v>
      </c>
      <c r="F3" s="5" t="s">
        <v>40</v>
      </c>
      <c r="G3" s="5" t="s">
        <v>41</v>
      </c>
    </row>
    <row r="4" spans="1:10" x14ac:dyDescent="0.25">
      <c r="A4">
        <v>1</v>
      </c>
      <c r="B4" s="16">
        <v>44497</v>
      </c>
      <c r="C4" t="s">
        <v>161</v>
      </c>
      <c r="D4">
        <v>111</v>
      </c>
      <c r="E4" t="s">
        <v>2</v>
      </c>
      <c r="F4" s="17">
        <v>100</v>
      </c>
      <c r="G4" s="17"/>
    </row>
    <row r="5" spans="1:10" x14ac:dyDescent="0.25">
      <c r="C5" t="s">
        <v>4</v>
      </c>
      <c r="D5">
        <v>114</v>
      </c>
      <c r="E5" t="s">
        <v>4</v>
      </c>
      <c r="F5" s="17">
        <v>13</v>
      </c>
      <c r="G5" s="17"/>
    </row>
    <row r="6" spans="1:10" x14ac:dyDescent="0.25">
      <c r="B6" s="16"/>
      <c r="D6">
        <v>112</v>
      </c>
      <c r="E6" t="s">
        <v>3</v>
      </c>
      <c r="F6" s="17"/>
      <c r="G6" s="17">
        <v>113</v>
      </c>
    </row>
    <row r="7" spans="1:10" x14ac:dyDescent="0.25">
      <c r="B7" s="16"/>
      <c r="F7" s="17"/>
      <c r="G7" s="17"/>
    </row>
    <row r="8" spans="1:10" x14ac:dyDescent="0.25">
      <c r="F8" s="17"/>
      <c r="G8" s="18"/>
    </row>
    <row r="9" spans="1:10" x14ac:dyDescent="0.25">
      <c r="B9" s="16"/>
      <c r="F9" s="17"/>
      <c r="G9" s="17"/>
    </row>
    <row r="10" spans="1:10" x14ac:dyDescent="0.25">
      <c r="F10" s="17"/>
      <c r="G10" s="17"/>
    </row>
    <row r="11" spans="1:10" x14ac:dyDescent="0.25">
      <c r="F11" s="17"/>
      <c r="G11" s="17"/>
    </row>
    <row r="12" spans="1:10" x14ac:dyDescent="0.25">
      <c r="J12" s="15"/>
    </row>
  </sheetData>
  <mergeCells count="2">
    <mergeCell ref="A2:G2"/>
    <mergeCell ref="A1:G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garFormularioLibroDiario">
                <anchor moveWithCells="1" sizeWithCells="1">
                  <from>
                    <xdr:col>7</xdr:col>
                    <xdr:colOff>781050</xdr:colOff>
                    <xdr:row>2</xdr:row>
                    <xdr:rowOff>19050</xdr:rowOff>
                  </from>
                  <to>
                    <xdr:col>10</xdr:col>
                    <xdr:colOff>438150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11"/>
  <sheetViews>
    <sheetView tabSelected="1" zoomScale="145" zoomScaleNormal="145" workbookViewId="0">
      <selection activeCell="D28" sqref="D28"/>
    </sheetView>
  </sheetViews>
  <sheetFormatPr baseColWidth="10" defaultRowHeight="15" x14ac:dyDescent="0.25"/>
  <cols>
    <col min="1" max="1" width="6.7109375" bestFit="1" customWidth="1"/>
    <col min="2" max="2" width="28.140625" customWidth="1"/>
    <col min="3" max="3" width="13.28515625" bestFit="1" customWidth="1"/>
    <col min="4" max="4" width="20.5703125" bestFit="1" customWidth="1"/>
    <col min="5" max="5" width="15.5703125" bestFit="1" customWidth="1"/>
    <col min="6" max="6" width="11.7109375" bestFit="1" customWidth="1"/>
  </cols>
  <sheetData>
    <row r="1" spans="1:6" x14ac:dyDescent="0.25">
      <c r="A1" s="97" t="s">
        <v>0</v>
      </c>
      <c r="B1" s="98"/>
      <c r="C1" s="98"/>
      <c r="D1" s="98"/>
      <c r="E1" s="98"/>
      <c r="F1" s="99"/>
    </row>
    <row r="2" spans="1:6" x14ac:dyDescent="0.25">
      <c r="A2" s="97" t="s">
        <v>53</v>
      </c>
      <c r="B2" s="98"/>
      <c r="C2" s="98"/>
      <c r="D2" s="98"/>
      <c r="E2" s="98"/>
      <c r="F2" s="99"/>
    </row>
    <row r="3" spans="1:6" x14ac:dyDescent="0.25">
      <c r="A3" s="19" t="s">
        <v>54</v>
      </c>
      <c r="B3" s="19" t="s">
        <v>39</v>
      </c>
      <c r="C3" s="19" t="s">
        <v>36</v>
      </c>
      <c r="D3" s="19" t="s">
        <v>52</v>
      </c>
      <c r="E3" s="19" t="s">
        <v>40</v>
      </c>
      <c r="F3" s="19" t="s">
        <v>41</v>
      </c>
    </row>
    <row r="4" spans="1:6" x14ac:dyDescent="0.25">
      <c r="A4">
        <v>111</v>
      </c>
      <c r="B4" t="s">
        <v>2</v>
      </c>
      <c r="C4" t="s">
        <v>164</v>
      </c>
      <c r="D4">
        <v>1</v>
      </c>
      <c r="E4" s="17">
        <v>100</v>
      </c>
      <c r="F4" s="17"/>
    </row>
    <row r="5" spans="1:6" x14ac:dyDescent="0.25">
      <c r="E5" s="21">
        <v>100</v>
      </c>
      <c r="F5" s="17"/>
    </row>
    <row r="6" spans="1:6" x14ac:dyDescent="0.25">
      <c r="A6" s="19" t="s">
        <v>54</v>
      </c>
      <c r="B6" s="19" t="s">
        <v>39</v>
      </c>
      <c r="C6" s="19" t="s">
        <v>36</v>
      </c>
      <c r="D6" s="19" t="s">
        <v>55</v>
      </c>
      <c r="E6" s="20" t="s">
        <v>40</v>
      </c>
      <c r="F6" s="20" t="s">
        <v>41</v>
      </c>
    </row>
    <row r="7" spans="1:6" x14ac:dyDescent="0.25">
      <c r="A7">
        <v>112</v>
      </c>
      <c r="B7" t="s">
        <v>3</v>
      </c>
      <c r="C7" t="s">
        <v>164</v>
      </c>
      <c r="D7">
        <v>1</v>
      </c>
      <c r="E7" s="17"/>
      <c r="F7" s="17">
        <v>113</v>
      </c>
    </row>
    <row r="8" spans="1:6" x14ac:dyDescent="0.25">
      <c r="E8" s="17"/>
      <c r="F8" s="21">
        <v>113</v>
      </c>
    </row>
    <row r="9" spans="1:6" x14ac:dyDescent="0.25">
      <c r="A9" s="19" t="s">
        <v>54</v>
      </c>
      <c r="B9" s="19" t="s">
        <v>39</v>
      </c>
      <c r="C9" s="19" t="s">
        <v>36</v>
      </c>
      <c r="D9" s="19" t="s">
        <v>55</v>
      </c>
      <c r="E9" s="20" t="s">
        <v>40</v>
      </c>
      <c r="F9" s="20" t="s">
        <v>41</v>
      </c>
    </row>
    <row r="10" spans="1:6" x14ac:dyDescent="0.25">
      <c r="A10">
        <v>114</v>
      </c>
      <c r="B10" t="s">
        <v>4</v>
      </c>
      <c r="C10" t="s">
        <v>164</v>
      </c>
      <c r="D10">
        <v>1</v>
      </c>
      <c r="E10" s="17">
        <v>13</v>
      </c>
      <c r="F10" s="17"/>
    </row>
    <row r="11" spans="1:6" x14ac:dyDescent="0.25">
      <c r="E11" s="21">
        <v>13</v>
      </c>
    </row>
  </sheetData>
  <mergeCells count="2">
    <mergeCell ref="A1:F1"/>
    <mergeCell ref="A2:F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LibroMayor">
                <anchor>
                  <from>
                    <xdr:col>6</xdr:col>
                    <xdr:colOff>180975</xdr:colOff>
                    <xdr:row>1</xdr:row>
                    <xdr:rowOff>57150</xdr:rowOff>
                  </from>
                  <to>
                    <xdr:col>8</xdr:col>
                    <xdr:colOff>552450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7"/>
  <sheetViews>
    <sheetView zoomScale="106" workbookViewId="0">
      <selection activeCell="F15" sqref="F15"/>
    </sheetView>
  </sheetViews>
  <sheetFormatPr baseColWidth="10" defaultRowHeight="15" x14ac:dyDescent="0.25"/>
  <cols>
    <col min="2" max="2" width="18.140625" bestFit="1" customWidth="1"/>
    <col min="3" max="3" width="14.7109375" customWidth="1"/>
    <col min="4" max="5" width="15" customWidth="1"/>
    <col min="6" max="6" width="15.42578125" customWidth="1"/>
  </cols>
  <sheetData>
    <row r="1" spans="1:6" x14ac:dyDescent="0.25">
      <c r="A1" s="97" t="s">
        <v>0</v>
      </c>
      <c r="B1" s="98"/>
      <c r="C1" s="98"/>
      <c r="D1" s="98"/>
      <c r="E1" s="98"/>
      <c r="F1" s="99"/>
    </row>
    <row r="2" spans="1:6" x14ac:dyDescent="0.25">
      <c r="A2" s="97" t="s">
        <v>162</v>
      </c>
      <c r="B2" s="98"/>
      <c r="C2" s="98"/>
      <c r="D2" s="98"/>
      <c r="E2" s="98"/>
      <c r="F2" s="99"/>
    </row>
    <row r="3" spans="1:6" x14ac:dyDescent="0.25">
      <c r="A3" s="19" t="s">
        <v>56</v>
      </c>
      <c r="B3" s="19" t="s">
        <v>39</v>
      </c>
      <c r="C3" s="19" t="s">
        <v>40</v>
      </c>
      <c r="D3" s="19" t="s">
        <v>41</v>
      </c>
      <c r="E3" s="19" t="s">
        <v>57</v>
      </c>
      <c r="F3" s="19" t="s">
        <v>58</v>
      </c>
    </row>
    <row r="4" spans="1:6" x14ac:dyDescent="0.25">
      <c r="A4">
        <v>111</v>
      </c>
      <c r="B4" t="s">
        <v>2</v>
      </c>
      <c r="C4" s="17">
        <v>100</v>
      </c>
      <c r="D4" s="17"/>
      <c r="E4" s="17">
        <v>100</v>
      </c>
    </row>
    <row r="5" spans="1:6" x14ac:dyDescent="0.25">
      <c r="A5">
        <v>112</v>
      </c>
      <c r="B5" t="s">
        <v>3</v>
      </c>
      <c r="C5" s="17"/>
      <c r="D5" s="17">
        <v>113</v>
      </c>
      <c r="F5" s="17">
        <v>113</v>
      </c>
    </row>
    <row r="6" spans="1:6" x14ac:dyDescent="0.25">
      <c r="A6">
        <v>114</v>
      </c>
      <c r="B6" t="s">
        <v>4</v>
      </c>
      <c r="C6" s="17">
        <v>13</v>
      </c>
      <c r="D6" s="17"/>
      <c r="E6" s="17">
        <v>13</v>
      </c>
    </row>
    <row r="7" spans="1:6" x14ac:dyDescent="0.25">
      <c r="A7" s="22"/>
      <c r="B7" s="25" t="s">
        <v>59</v>
      </c>
      <c r="C7" s="24">
        <v>113</v>
      </c>
      <c r="D7" s="24">
        <v>113</v>
      </c>
      <c r="E7" s="24">
        <v>113</v>
      </c>
      <c r="F7" s="23">
        <v>113</v>
      </c>
    </row>
  </sheetData>
  <mergeCells count="2">
    <mergeCell ref="A1:F1"/>
    <mergeCell ref="A2:F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rBalanceComprobacion">
                <anchor>
                  <from>
                    <xdr:col>6</xdr:col>
                    <xdr:colOff>276225</xdr:colOff>
                    <xdr:row>1</xdr:row>
                    <xdr:rowOff>57150</xdr:rowOff>
                  </from>
                  <to>
                    <xdr:col>9</xdr:col>
                    <xdr:colOff>514350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F10"/>
  <sheetViews>
    <sheetView zoomScale="138" workbookViewId="0">
      <selection activeCell="D27" sqref="D27"/>
    </sheetView>
  </sheetViews>
  <sheetFormatPr baseColWidth="10" defaultRowHeight="15" x14ac:dyDescent="0.25"/>
  <cols>
    <col min="2" max="2" width="21.7109375" bestFit="1" customWidth="1"/>
    <col min="3" max="3" width="14.28515625" bestFit="1" customWidth="1"/>
    <col min="4" max="4" width="16.28515625" bestFit="1" customWidth="1"/>
    <col min="5" max="5" width="36.28515625" bestFit="1" customWidth="1"/>
    <col min="6" max="6" width="13.28515625" bestFit="1" customWidth="1"/>
  </cols>
  <sheetData>
    <row r="1" spans="1:6" x14ac:dyDescent="0.25">
      <c r="A1" s="97" t="s">
        <v>0</v>
      </c>
      <c r="B1" s="98"/>
      <c r="C1" s="98"/>
      <c r="D1" s="98"/>
      <c r="E1" s="98"/>
      <c r="F1" s="99"/>
    </row>
    <row r="2" spans="1:6" x14ac:dyDescent="0.25">
      <c r="A2" s="97" t="s">
        <v>163</v>
      </c>
      <c r="B2" s="98"/>
      <c r="C2" s="98"/>
      <c r="D2" s="98"/>
      <c r="E2" s="98"/>
      <c r="F2" s="99"/>
    </row>
    <row r="3" spans="1:6" x14ac:dyDescent="0.25">
      <c r="A3" s="19" t="s">
        <v>54</v>
      </c>
      <c r="B3" s="19" t="s">
        <v>39</v>
      </c>
      <c r="C3" s="19" t="s">
        <v>40</v>
      </c>
      <c r="D3" s="19" t="s">
        <v>41</v>
      </c>
      <c r="E3" s="19" t="s">
        <v>57</v>
      </c>
      <c r="F3" s="19" t="s">
        <v>58</v>
      </c>
    </row>
    <row r="4" spans="1:6" x14ac:dyDescent="0.25">
      <c r="A4">
        <v>411</v>
      </c>
      <c r="B4" t="s">
        <v>16</v>
      </c>
      <c r="C4" s="17">
        <v>1000</v>
      </c>
      <c r="D4" s="17"/>
      <c r="E4" s="17">
        <v>1000</v>
      </c>
    </row>
    <row r="5" spans="1:6" x14ac:dyDescent="0.25">
      <c r="A5">
        <v>511</v>
      </c>
      <c r="B5" t="s">
        <v>20</v>
      </c>
      <c r="C5" s="17"/>
      <c r="D5" s="17">
        <v>1000</v>
      </c>
      <c r="F5" s="17">
        <v>1000</v>
      </c>
    </row>
    <row r="6" spans="1:6" x14ac:dyDescent="0.25">
      <c r="A6" s="22"/>
      <c r="B6" s="22"/>
      <c r="C6" s="92">
        <v>1000</v>
      </c>
      <c r="D6" s="92">
        <v>1000</v>
      </c>
      <c r="E6" s="92">
        <v>1000</v>
      </c>
      <c r="F6" s="92">
        <v>1000</v>
      </c>
    </row>
    <row r="8" spans="1:6" x14ac:dyDescent="0.25">
      <c r="A8" s="90" t="s">
        <v>54</v>
      </c>
      <c r="B8" s="90" t="s">
        <v>39</v>
      </c>
      <c r="C8" s="90" t="s">
        <v>57</v>
      </c>
      <c r="D8" s="90" t="s">
        <v>58</v>
      </c>
    </row>
    <row r="9" spans="1:6" x14ac:dyDescent="0.25">
      <c r="A9" s="91">
        <v>332</v>
      </c>
      <c r="B9" s="91" t="s">
        <v>13</v>
      </c>
      <c r="C9" s="91"/>
      <c r="D9" s="93">
        <v>0</v>
      </c>
      <c r="E9" s="91" t="s">
        <v>159</v>
      </c>
    </row>
    <row r="10" spans="1:6" x14ac:dyDescent="0.25">
      <c r="A10" s="86"/>
      <c r="B10" s="86"/>
      <c r="C10" s="86"/>
      <c r="D10" s="86"/>
    </row>
  </sheetData>
  <mergeCells count="2">
    <mergeCell ref="A1:F1"/>
    <mergeCell ref="A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nstruirEstadoDeResultado">
                <anchor>
                  <from>
                    <xdr:col>6</xdr:col>
                    <xdr:colOff>247650</xdr:colOff>
                    <xdr:row>2</xdr:row>
                    <xdr:rowOff>104775</xdr:rowOff>
                  </from>
                  <to>
                    <xdr:col>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D34"/>
  <sheetViews>
    <sheetView zoomScale="83" workbookViewId="0">
      <selection activeCell="I29" sqref="I29"/>
    </sheetView>
  </sheetViews>
  <sheetFormatPr baseColWidth="10" defaultRowHeight="15" x14ac:dyDescent="0.25"/>
  <cols>
    <col min="1" max="1" width="31.140625" customWidth="1"/>
    <col min="2" max="2" width="60.42578125" customWidth="1"/>
    <col min="3" max="3" width="27.140625" customWidth="1"/>
    <col min="4" max="4" width="35.7109375" customWidth="1"/>
  </cols>
  <sheetData>
    <row r="1" spans="1:4" x14ac:dyDescent="0.25">
      <c r="A1" s="100" t="s">
        <v>0</v>
      </c>
      <c r="B1" s="100"/>
      <c r="C1" s="100"/>
      <c r="D1" s="100"/>
    </row>
    <row r="2" spans="1:4" x14ac:dyDescent="0.25">
      <c r="A2" s="100"/>
      <c r="B2" s="100"/>
      <c r="C2" s="100"/>
      <c r="D2" s="100"/>
    </row>
    <row r="3" spans="1:4" ht="18.75" x14ac:dyDescent="0.3">
      <c r="A3" s="101" t="s">
        <v>63</v>
      </c>
      <c r="B3" s="101"/>
      <c r="C3" s="101"/>
      <c r="D3" s="101"/>
    </row>
    <row r="5" spans="1:4" x14ac:dyDescent="0.25">
      <c r="A5" s="26" t="s">
        <v>60</v>
      </c>
      <c r="B5" s="26" t="s">
        <v>61</v>
      </c>
      <c r="C5" s="26" t="s">
        <v>62</v>
      </c>
    </row>
    <row r="6" spans="1:4" x14ac:dyDescent="0.25">
      <c r="A6" s="47"/>
      <c r="B6" s="29"/>
      <c r="C6" s="29"/>
    </row>
    <row r="7" spans="1:4" x14ac:dyDescent="0.25">
      <c r="A7" s="48" t="s">
        <v>64</v>
      </c>
      <c r="B7" s="27" t="s">
        <v>65</v>
      </c>
      <c r="C7" s="28">
        <v>777</v>
      </c>
    </row>
    <row r="8" spans="1:4" x14ac:dyDescent="0.25">
      <c r="A8" s="48" t="s">
        <v>66</v>
      </c>
      <c r="B8" s="27" t="s">
        <v>67</v>
      </c>
      <c r="C8" s="28">
        <v>2.13</v>
      </c>
    </row>
    <row r="9" spans="1:4" x14ac:dyDescent="0.25">
      <c r="A9" s="48" t="s">
        <v>68</v>
      </c>
      <c r="B9" s="27" t="s">
        <v>69</v>
      </c>
      <c r="C9" s="28">
        <v>2.16</v>
      </c>
    </row>
    <row r="10" spans="1:4" x14ac:dyDescent="0.25">
      <c r="A10" s="48" t="s">
        <v>70</v>
      </c>
      <c r="B10" s="27" t="s">
        <v>71</v>
      </c>
      <c r="C10" s="28">
        <v>7.79</v>
      </c>
    </row>
    <row r="11" spans="1:4" x14ac:dyDescent="0.25">
      <c r="A11" s="48" t="s">
        <v>72</v>
      </c>
      <c r="B11" s="27" t="s">
        <v>73</v>
      </c>
      <c r="C11" s="28">
        <v>7.79</v>
      </c>
    </row>
    <row r="12" spans="1:4" ht="15.75" thickBot="1" x14ac:dyDescent="0.3">
      <c r="A12" s="48" t="s">
        <v>74</v>
      </c>
      <c r="B12" s="46" t="s">
        <v>75</v>
      </c>
      <c r="C12" s="30">
        <v>7.79</v>
      </c>
    </row>
    <row r="13" spans="1:4" ht="15.75" thickTop="1" x14ac:dyDescent="0.25">
      <c r="A13" s="47"/>
      <c r="B13" s="49" t="s">
        <v>76</v>
      </c>
      <c r="C13" s="31">
        <v>804.67</v>
      </c>
    </row>
    <row r="14" spans="1:4" x14ac:dyDescent="0.25">
      <c r="A14" s="47"/>
      <c r="B14" s="49" t="s">
        <v>77</v>
      </c>
      <c r="C14" s="31">
        <v>804.67</v>
      </c>
    </row>
    <row r="15" spans="1:4" x14ac:dyDescent="0.25">
      <c r="A15" s="47"/>
      <c r="B15" s="49" t="s">
        <v>78</v>
      </c>
      <c r="C15" s="31">
        <v>804.67</v>
      </c>
    </row>
    <row r="17" spans="1:4" ht="17.25" x14ac:dyDescent="0.3">
      <c r="A17" s="102" t="s">
        <v>79</v>
      </c>
      <c r="B17" s="102"/>
      <c r="C17" s="102"/>
      <c r="D17" s="102"/>
    </row>
    <row r="18" spans="1:4" x14ac:dyDescent="0.25">
      <c r="A18" s="26" t="s">
        <v>80</v>
      </c>
      <c r="B18" s="26" t="s">
        <v>81</v>
      </c>
      <c r="C18" s="26" t="s">
        <v>82</v>
      </c>
      <c r="D18" s="26" t="s">
        <v>83</v>
      </c>
    </row>
    <row r="19" spans="1:4" x14ac:dyDescent="0.25">
      <c r="A19" s="50" t="s">
        <v>84</v>
      </c>
      <c r="B19" s="33">
        <v>804.67</v>
      </c>
      <c r="C19" s="33">
        <v>111</v>
      </c>
      <c r="D19" s="35">
        <v>7.25</v>
      </c>
    </row>
    <row r="20" spans="1:4" x14ac:dyDescent="0.25">
      <c r="A20" s="50" t="s">
        <v>85</v>
      </c>
      <c r="B20" s="32">
        <v>804.67</v>
      </c>
      <c r="C20" s="32">
        <v>111</v>
      </c>
      <c r="D20" s="36">
        <v>7.25</v>
      </c>
    </row>
    <row r="21" spans="1:4" ht="15.75" thickBot="1" x14ac:dyDescent="0.3">
      <c r="A21" s="50" t="s">
        <v>86</v>
      </c>
      <c r="B21" s="34">
        <v>804.67</v>
      </c>
      <c r="C21" s="34">
        <v>111</v>
      </c>
      <c r="D21" s="37">
        <v>7.25</v>
      </c>
    </row>
    <row r="22" spans="1:4" ht="15.75" thickTop="1" x14ac:dyDescent="0.25"/>
    <row r="24" spans="1:4" ht="17.25" x14ac:dyDescent="0.3">
      <c r="A24" s="102" t="s">
        <v>87</v>
      </c>
      <c r="B24" s="102"/>
      <c r="C24" s="102"/>
      <c r="D24" s="102"/>
    </row>
    <row r="25" spans="1:4" x14ac:dyDescent="0.25">
      <c r="A25" s="26" t="s">
        <v>80</v>
      </c>
      <c r="B25" s="26" t="s">
        <v>81</v>
      </c>
      <c r="C25" s="26" t="s">
        <v>88</v>
      </c>
      <c r="D25" s="26" t="s">
        <v>83</v>
      </c>
    </row>
    <row r="26" spans="1:4" x14ac:dyDescent="0.25">
      <c r="A26" s="48" t="s">
        <v>84</v>
      </c>
      <c r="B26" s="33">
        <v>804.67</v>
      </c>
      <c r="C26" s="33">
        <v>1.1100000000000001</v>
      </c>
      <c r="D26" s="38">
        <v>724.92</v>
      </c>
    </row>
    <row r="27" spans="1:4" x14ac:dyDescent="0.25">
      <c r="A27" s="48" t="s">
        <v>85</v>
      </c>
      <c r="B27" s="32">
        <v>804.67</v>
      </c>
      <c r="C27" s="32">
        <v>1.1100000000000001</v>
      </c>
      <c r="D27" s="39">
        <v>724.92</v>
      </c>
    </row>
    <row r="28" spans="1:4" ht="15.75" thickBot="1" x14ac:dyDescent="0.3">
      <c r="A28" s="48" t="s">
        <v>86</v>
      </c>
      <c r="B28" s="34">
        <v>804.67</v>
      </c>
      <c r="C28" s="34">
        <v>1.1100000000000001</v>
      </c>
      <c r="D28" s="40">
        <v>724.92</v>
      </c>
    </row>
    <row r="29" spans="1:4" ht="15.75" thickTop="1" x14ac:dyDescent="0.25"/>
    <row r="31" spans="1:4" x14ac:dyDescent="0.25">
      <c r="A31" s="42"/>
      <c r="B31" s="42"/>
      <c r="C31" s="42"/>
      <c r="D31" s="42"/>
    </row>
    <row r="32" spans="1:4" ht="15.75" thickBot="1" x14ac:dyDescent="0.3">
      <c r="A32" s="41"/>
      <c r="B32" s="44" t="s">
        <v>89</v>
      </c>
      <c r="C32" s="45">
        <v>71767</v>
      </c>
      <c r="D32" s="41"/>
    </row>
    <row r="33" spans="1:4" ht="16.5" thickTop="1" thickBot="1" x14ac:dyDescent="0.3">
      <c r="A33" s="43"/>
      <c r="B33" s="43"/>
      <c r="C33" s="43"/>
      <c r="D33" s="43"/>
    </row>
    <row r="34" spans="1:4" ht="15.75" thickTop="1" x14ac:dyDescent="0.25"/>
  </sheetData>
  <mergeCells count="4">
    <mergeCell ref="A1:D2"/>
    <mergeCell ref="A3:D3"/>
    <mergeCell ref="A17:D17"/>
    <mergeCell ref="A24:D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noDeObra">
                <anchor>
                  <from>
                    <xdr:col>4</xdr:col>
                    <xdr:colOff>285750</xdr:colOff>
                    <xdr:row>4</xdr:row>
                    <xdr:rowOff>47625</xdr:rowOff>
                  </from>
                  <to>
                    <xdr:col>6</xdr:col>
                    <xdr:colOff>600075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ManoDeObra">
                <anchor>
                  <from>
                    <xdr:col>4</xdr:col>
                    <xdr:colOff>314325</xdr:colOff>
                    <xdr:row>6</xdr:row>
                    <xdr:rowOff>161925</xdr:rowOff>
                  </from>
                  <to>
                    <xdr:col>6</xdr:col>
                    <xdr:colOff>619125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L153"/>
  <sheetViews>
    <sheetView zoomScaleNormal="100" workbookViewId="0">
      <selection activeCell="D15" sqref="D15"/>
    </sheetView>
  </sheetViews>
  <sheetFormatPr baseColWidth="10" defaultRowHeight="15" x14ac:dyDescent="0.25"/>
  <cols>
    <col min="1" max="1" width="9.28515625" customWidth="1"/>
    <col min="2" max="2" width="62.42578125" customWidth="1"/>
    <col min="3" max="3" width="22.140625" customWidth="1"/>
    <col min="4" max="4" width="24.42578125" customWidth="1"/>
    <col min="5" max="5" width="35.5703125" customWidth="1"/>
    <col min="6" max="6" width="23.42578125" customWidth="1"/>
    <col min="7" max="7" width="21.7109375" customWidth="1"/>
    <col min="8" max="8" width="13.7109375" customWidth="1"/>
    <col min="9" max="9" width="22.28515625" customWidth="1"/>
    <col min="10" max="10" width="11.7109375" customWidth="1"/>
  </cols>
  <sheetData>
    <row r="1" spans="1:9" x14ac:dyDescent="0.25">
      <c r="A1" s="106" t="s">
        <v>90</v>
      </c>
      <c r="B1" s="106"/>
      <c r="C1" s="106"/>
      <c r="E1" s="107" t="s">
        <v>90</v>
      </c>
      <c r="F1" s="107"/>
      <c r="G1" s="107"/>
      <c r="H1" s="107"/>
      <c r="I1" s="107"/>
    </row>
    <row r="2" spans="1:9" x14ac:dyDescent="0.25">
      <c r="A2" s="108" t="s">
        <v>91</v>
      </c>
      <c r="B2" s="108"/>
      <c r="C2" s="108"/>
      <c r="E2" s="108" t="s">
        <v>92</v>
      </c>
      <c r="F2" s="108"/>
      <c r="G2" s="108"/>
      <c r="H2" s="108"/>
      <c r="I2" s="108"/>
    </row>
    <row r="3" spans="1:9" x14ac:dyDescent="0.25">
      <c r="A3" s="51" t="s">
        <v>93</v>
      </c>
      <c r="B3" s="51" t="s">
        <v>94</v>
      </c>
      <c r="C3" s="51" t="s">
        <v>95</v>
      </c>
      <c r="E3" s="51" t="s">
        <v>96</v>
      </c>
      <c r="F3" s="51" t="s">
        <v>97</v>
      </c>
      <c r="G3" s="51" t="s">
        <v>98</v>
      </c>
      <c r="H3" s="51" t="s">
        <v>99</v>
      </c>
      <c r="I3" s="51" t="s">
        <v>100</v>
      </c>
    </row>
    <row r="4" spans="1:9" x14ac:dyDescent="0.25">
      <c r="A4" s="52">
        <v>531</v>
      </c>
      <c r="B4" s="53" t="s">
        <v>43</v>
      </c>
      <c r="C4" s="54"/>
      <c r="E4" s="109" t="s">
        <v>101</v>
      </c>
      <c r="F4" s="110"/>
      <c r="G4" s="110"/>
      <c r="H4" s="110"/>
      <c r="I4" s="111"/>
    </row>
    <row r="5" spans="1:9" x14ac:dyDescent="0.25">
      <c r="A5" s="52">
        <v>532</v>
      </c>
      <c r="B5" s="52" t="s">
        <v>44</v>
      </c>
      <c r="C5" s="54"/>
      <c r="E5" s="55" t="s">
        <v>102</v>
      </c>
      <c r="F5" s="55"/>
      <c r="G5" s="55"/>
      <c r="H5" s="55"/>
      <c r="I5" s="55"/>
    </row>
    <row r="6" spans="1:9" x14ac:dyDescent="0.25">
      <c r="A6" s="52">
        <v>533</v>
      </c>
      <c r="B6" s="52" t="s">
        <v>45</v>
      </c>
      <c r="C6" s="54"/>
      <c r="E6" s="55" t="s">
        <v>103</v>
      </c>
      <c r="F6" s="55"/>
      <c r="G6" s="55"/>
      <c r="H6" s="55"/>
      <c r="I6" s="55"/>
    </row>
    <row r="7" spans="1:9" x14ac:dyDescent="0.25">
      <c r="A7" s="52">
        <v>534</v>
      </c>
      <c r="B7" s="52" t="s">
        <v>46</v>
      </c>
      <c r="C7" s="54"/>
      <c r="E7" s="55" t="s">
        <v>104</v>
      </c>
      <c r="F7" s="55"/>
      <c r="G7" s="55"/>
      <c r="H7" s="55"/>
      <c r="I7" s="55"/>
    </row>
    <row r="8" spans="1:9" x14ac:dyDescent="0.25">
      <c r="A8" s="52">
        <v>535</v>
      </c>
      <c r="B8" s="52" t="s">
        <v>47</v>
      </c>
      <c r="C8" s="54"/>
      <c r="E8" s="55" t="s">
        <v>105</v>
      </c>
      <c r="F8" s="55"/>
      <c r="G8" s="55"/>
      <c r="H8" s="55"/>
      <c r="I8" s="55"/>
    </row>
    <row r="9" spans="1:9" x14ac:dyDescent="0.25">
      <c r="A9" s="52">
        <v>536</v>
      </c>
      <c r="B9" s="52" t="s">
        <v>48</v>
      </c>
      <c r="C9" s="54"/>
      <c r="E9" s="55" t="s">
        <v>106</v>
      </c>
      <c r="F9" s="55"/>
      <c r="G9" s="55"/>
      <c r="H9" s="55"/>
      <c r="I9" s="55"/>
    </row>
    <row r="10" spans="1:9" x14ac:dyDescent="0.25">
      <c r="A10" s="52">
        <v>537</v>
      </c>
      <c r="B10" s="52" t="s">
        <v>49</v>
      </c>
      <c r="C10" s="54"/>
      <c r="E10" s="109" t="s">
        <v>107</v>
      </c>
      <c r="F10" s="110"/>
      <c r="G10" s="110"/>
      <c r="H10" s="110"/>
      <c r="I10" s="111"/>
    </row>
    <row r="11" spans="1:9" x14ac:dyDescent="0.25">
      <c r="A11" s="52">
        <v>538</v>
      </c>
      <c r="B11" s="52" t="s">
        <v>50</v>
      </c>
      <c r="C11" s="54"/>
      <c r="E11" s="55" t="s">
        <v>108</v>
      </c>
      <c r="F11" s="55"/>
      <c r="G11" s="55"/>
      <c r="H11" s="55"/>
      <c r="I11" s="55"/>
    </row>
    <row r="12" spans="1:9" x14ac:dyDescent="0.25">
      <c r="A12" s="52">
        <v>539</v>
      </c>
      <c r="B12" s="52" t="s">
        <v>51</v>
      </c>
      <c r="C12" s="54"/>
      <c r="E12" s="55" t="s">
        <v>109</v>
      </c>
      <c r="F12" s="55"/>
      <c r="G12" s="55"/>
      <c r="H12" s="55"/>
      <c r="I12" s="55"/>
    </row>
    <row r="13" spans="1:9" x14ac:dyDescent="0.25">
      <c r="A13" s="52">
        <v>612</v>
      </c>
      <c r="B13" s="52" t="s">
        <v>29</v>
      </c>
      <c r="C13" s="54"/>
      <c r="E13" s="55" t="s">
        <v>110</v>
      </c>
      <c r="F13" s="55"/>
      <c r="G13" s="55"/>
      <c r="H13" s="55"/>
      <c r="I13" s="55"/>
    </row>
    <row r="14" spans="1:9" x14ac:dyDescent="0.25">
      <c r="A14" s="52">
        <v>613</v>
      </c>
      <c r="B14" s="52" t="s">
        <v>30</v>
      </c>
      <c r="C14" s="54"/>
      <c r="E14" s="55" t="s">
        <v>111</v>
      </c>
      <c r="F14" s="55"/>
      <c r="G14" s="55"/>
      <c r="H14" s="55"/>
      <c r="I14" s="55"/>
    </row>
    <row r="15" spans="1:9" x14ac:dyDescent="0.25">
      <c r="A15" s="52">
        <v>617</v>
      </c>
      <c r="B15" s="52" t="s">
        <v>34</v>
      </c>
      <c r="C15" s="54"/>
      <c r="E15" s="56" t="s">
        <v>59</v>
      </c>
      <c r="F15" s="57"/>
      <c r="G15" s="57"/>
      <c r="H15" s="57"/>
      <c r="I15" s="57"/>
    </row>
    <row r="16" spans="1:9" x14ac:dyDescent="0.25">
      <c r="A16" s="5" t="s">
        <v>112</v>
      </c>
      <c r="B16" s="58"/>
      <c r="C16" s="54"/>
      <c r="E16" s="59"/>
      <c r="F16" s="60"/>
      <c r="G16" s="41">
        <f>SUM(G5:G9,G11:G14)</f>
        <v>0</v>
      </c>
      <c r="H16" s="60"/>
      <c r="I16" s="41"/>
    </row>
    <row r="17" spans="1:12" x14ac:dyDescent="0.25">
      <c r="C17" s="85"/>
      <c r="E17" s="41"/>
      <c r="F17" s="41"/>
      <c r="G17" s="41"/>
      <c r="H17" s="41"/>
      <c r="I17" s="41"/>
    </row>
    <row r="22" spans="1:12" x14ac:dyDescent="0.25">
      <c r="A22" s="112" t="s">
        <v>113</v>
      </c>
      <c r="B22" s="112"/>
      <c r="C22" s="112"/>
      <c r="D22" s="112"/>
      <c r="E22" s="112"/>
      <c r="F22" s="112"/>
      <c r="G22" s="61"/>
      <c r="H22" s="61"/>
      <c r="I22" s="62"/>
      <c r="J22" s="62"/>
      <c r="K22" s="62"/>
      <c r="L22" s="62"/>
    </row>
    <row r="23" spans="1:12" x14ac:dyDescent="0.25">
      <c r="A23" s="112"/>
      <c r="B23" s="112"/>
      <c r="C23" s="112"/>
      <c r="D23" s="112"/>
      <c r="E23" s="112"/>
      <c r="F23" s="112"/>
      <c r="G23" s="61"/>
      <c r="H23" s="61"/>
      <c r="I23" s="62"/>
      <c r="J23" s="62"/>
      <c r="K23" s="62"/>
      <c r="L23" s="62"/>
    </row>
    <row r="26" spans="1:12" x14ac:dyDescent="0.25">
      <c r="A26" s="113" t="s">
        <v>93</v>
      </c>
      <c r="B26" s="113" t="s">
        <v>114</v>
      </c>
      <c r="C26" s="116" t="s">
        <v>115</v>
      </c>
      <c r="D26" s="117"/>
      <c r="E26" s="117"/>
      <c r="F26" s="117"/>
      <c r="G26" s="118"/>
      <c r="H26" s="116" t="s">
        <v>116</v>
      </c>
      <c r="I26" s="117"/>
      <c r="J26" s="117"/>
      <c r="K26" s="118"/>
      <c r="L26" s="103" t="s">
        <v>112</v>
      </c>
    </row>
    <row r="27" spans="1:12" x14ac:dyDescent="0.25">
      <c r="A27" s="114"/>
      <c r="B27" s="115"/>
      <c r="C27" s="119"/>
      <c r="D27" s="120"/>
      <c r="E27" s="120"/>
      <c r="F27" s="120"/>
      <c r="G27" s="121"/>
      <c r="H27" s="119"/>
      <c r="I27" s="120"/>
      <c r="J27" s="120"/>
      <c r="K27" s="121"/>
      <c r="L27" s="104"/>
    </row>
    <row r="28" spans="1:12" ht="27.6" customHeight="1" x14ac:dyDescent="0.25">
      <c r="A28" s="63" t="s">
        <v>117</v>
      </c>
      <c r="B28" s="114"/>
      <c r="C28" s="64" t="s">
        <v>118</v>
      </c>
      <c r="D28" s="64" t="s">
        <v>103</v>
      </c>
      <c r="E28" s="64" t="s">
        <v>104</v>
      </c>
      <c r="F28" s="64" t="s">
        <v>105</v>
      </c>
      <c r="G28" s="64" t="s">
        <v>106</v>
      </c>
      <c r="H28" s="65" t="s">
        <v>108</v>
      </c>
      <c r="I28" s="65" t="s">
        <v>109</v>
      </c>
      <c r="J28" s="65" t="s">
        <v>110</v>
      </c>
      <c r="K28" s="65" t="s">
        <v>111</v>
      </c>
      <c r="L28" s="105"/>
    </row>
    <row r="29" spans="1:12" x14ac:dyDescent="0.25">
      <c r="A29" s="52">
        <v>531</v>
      </c>
      <c r="B29" s="53" t="s">
        <v>43</v>
      </c>
      <c r="C29" s="54"/>
      <c r="D29" s="66"/>
      <c r="E29" s="66"/>
      <c r="F29" s="66"/>
      <c r="G29" s="66"/>
      <c r="H29" s="66"/>
      <c r="I29" s="66"/>
      <c r="J29" s="66"/>
      <c r="K29" s="66"/>
      <c r="L29" s="67"/>
    </row>
    <row r="30" spans="1:12" x14ac:dyDescent="0.25">
      <c r="A30" s="52">
        <v>532</v>
      </c>
      <c r="B30" s="52" t="s">
        <v>44</v>
      </c>
      <c r="C30" s="54"/>
      <c r="D30" s="54"/>
      <c r="E30" s="66"/>
      <c r="F30" s="66"/>
      <c r="G30" s="66"/>
      <c r="H30" s="66"/>
      <c r="I30" s="66"/>
      <c r="J30" s="66"/>
      <c r="K30" s="66"/>
      <c r="L30" s="67"/>
    </row>
    <row r="31" spans="1:12" x14ac:dyDescent="0.25">
      <c r="A31" s="52">
        <v>533</v>
      </c>
      <c r="B31" s="52" t="s">
        <v>45</v>
      </c>
      <c r="C31" s="54"/>
      <c r="D31" s="66"/>
      <c r="E31" s="54"/>
      <c r="F31" s="66"/>
      <c r="G31" s="66"/>
      <c r="H31" s="68"/>
      <c r="I31" s="68"/>
      <c r="J31" s="68"/>
      <c r="K31" s="68"/>
      <c r="L31" s="67"/>
    </row>
    <row r="32" spans="1:12" x14ac:dyDescent="0.25">
      <c r="A32" s="52">
        <v>534</v>
      </c>
      <c r="B32" s="52" t="s">
        <v>46</v>
      </c>
      <c r="C32" s="54"/>
      <c r="D32" s="54"/>
      <c r="E32" s="54"/>
      <c r="F32" s="66"/>
      <c r="G32" s="66"/>
      <c r="H32" s="68"/>
      <c r="I32" s="68"/>
      <c r="J32" s="68"/>
      <c r="K32" s="68"/>
      <c r="L32" s="67"/>
    </row>
    <row r="33" spans="1:12" x14ac:dyDescent="0.25">
      <c r="A33" s="52">
        <v>535</v>
      </c>
      <c r="B33" s="52" t="s">
        <v>47</v>
      </c>
      <c r="C33" s="54"/>
      <c r="D33" s="54"/>
      <c r="E33" s="54"/>
      <c r="F33" s="66"/>
      <c r="G33" s="66"/>
      <c r="H33" s="68"/>
      <c r="I33" s="68"/>
      <c r="J33" s="68"/>
      <c r="K33" s="68"/>
      <c r="L33" s="67"/>
    </row>
    <row r="34" spans="1:12" x14ac:dyDescent="0.25">
      <c r="A34" s="52">
        <v>536</v>
      </c>
      <c r="B34" s="52" t="s">
        <v>48</v>
      </c>
      <c r="C34" s="66"/>
      <c r="D34" s="66"/>
      <c r="E34" s="66"/>
      <c r="F34" s="54"/>
      <c r="G34" s="66"/>
      <c r="H34" s="54"/>
      <c r="I34" s="54"/>
      <c r="J34" s="66"/>
      <c r="K34" s="66"/>
      <c r="L34" s="67"/>
    </row>
    <row r="35" spans="1:12" x14ac:dyDescent="0.25">
      <c r="A35" s="52">
        <v>537</v>
      </c>
      <c r="B35" s="52" t="s">
        <v>49</v>
      </c>
      <c r="C35" s="66"/>
      <c r="D35" s="66"/>
      <c r="E35" s="66"/>
      <c r="F35" s="66"/>
      <c r="G35" s="66"/>
      <c r="H35" s="66"/>
      <c r="I35" s="66"/>
      <c r="J35" s="66"/>
      <c r="K35" s="66"/>
      <c r="L35" s="67"/>
    </row>
    <row r="36" spans="1:12" x14ac:dyDescent="0.25">
      <c r="A36" s="52">
        <v>538</v>
      </c>
      <c r="B36" s="52" t="s">
        <v>50</v>
      </c>
      <c r="C36" s="66"/>
      <c r="D36" s="66"/>
      <c r="E36" s="66"/>
      <c r="F36" s="66"/>
      <c r="G36" s="66"/>
      <c r="H36" s="66"/>
      <c r="I36" s="66"/>
      <c r="J36" s="66"/>
      <c r="K36" s="66"/>
      <c r="L36" s="67"/>
    </row>
    <row r="37" spans="1:12" x14ac:dyDescent="0.25">
      <c r="A37" s="52">
        <v>539</v>
      </c>
      <c r="B37" s="52" t="s">
        <v>51</v>
      </c>
      <c r="C37" s="66"/>
      <c r="D37" s="66"/>
      <c r="E37" s="66"/>
      <c r="F37" s="66"/>
      <c r="G37" s="66"/>
      <c r="H37" s="66"/>
      <c r="I37" s="66"/>
      <c r="J37" s="66"/>
      <c r="K37" s="66"/>
      <c r="L37" s="67"/>
    </row>
    <row r="38" spans="1:12" x14ac:dyDescent="0.25">
      <c r="A38" s="52">
        <v>612</v>
      </c>
      <c r="B38" s="52" t="s">
        <v>29</v>
      </c>
      <c r="C38" s="66"/>
      <c r="D38" s="66"/>
      <c r="E38" s="66"/>
      <c r="F38" s="66"/>
      <c r="G38" s="66"/>
      <c r="H38" s="66"/>
      <c r="I38" s="66"/>
      <c r="J38" s="66"/>
      <c r="K38" s="66"/>
      <c r="L38" s="67"/>
    </row>
    <row r="39" spans="1:12" x14ac:dyDescent="0.25">
      <c r="A39" s="52">
        <v>613</v>
      </c>
      <c r="B39" s="52" t="s">
        <v>30</v>
      </c>
      <c r="C39" s="66"/>
      <c r="D39" s="66"/>
      <c r="E39" s="66"/>
      <c r="F39" s="66"/>
      <c r="G39" s="66"/>
      <c r="H39" s="66"/>
      <c r="I39" s="66"/>
      <c r="J39" s="66"/>
      <c r="K39" s="66"/>
      <c r="L39" s="67"/>
    </row>
    <row r="40" spans="1:12" x14ac:dyDescent="0.25">
      <c r="A40" s="69">
        <v>617</v>
      </c>
      <c r="B40" s="69" t="s">
        <v>34</v>
      </c>
      <c r="C40" s="66"/>
      <c r="D40" s="66"/>
      <c r="E40" s="66"/>
      <c r="F40" s="66"/>
      <c r="G40" s="66"/>
      <c r="H40" s="66"/>
      <c r="I40" s="66"/>
      <c r="J40" s="66"/>
      <c r="K40" s="66"/>
      <c r="L40" s="67"/>
    </row>
    <row r="41" spans="1:12" x14ac:dyDescent="0.25">
      <c r="A41" s="70"/>
      <c r="B41" s="71" t="s">
        <v>112</v>
      </c>
      <c r="C41" s="72"/>
      <c r="D41" s="72"/>
      <c r="E41" s="72"/>
      <c r="F41" s="72"/>
      <c r="G41" s="72"/>
      <c r="H41" s="72"/>
      <c r="I41" s="72"/>
      <c r="J41" s="72"/>
      <c r="K41" s="72"/>
      <c r="L41" s="67"/>
    </row>
    <row r="42" spans="1:12" x14ac:dyDescent="0.25">
      <c r="A42" s="73">
        <v>618</v>
      </c>
      <c r="B42" s="74" t="s">
        <v>108</v>
      </c>
      <c r="C42" s="68"/>
      <c r="D42" s="68"/>
      <c r="E42" s="68"/>
      <c r="F42" s="68"/>
      <c r="G42" s="68"/>
      <c r="H42" s="68"/>
      <c r="I42" s="68"/>
      <c r="J42" s="68"/>
      <c r="K42" s="68"/>
      <c r="L42" s="67"/>
    </row>
    <row r="43" spans="1:12" x14ac:dyDescent="0.25">
      <c r="A43" s="52">
        <v>619</v>
      </c>
      <c r="B43" s="74" t="s">
        <v>109</v>
      </c>
      <c r="C43" s="68"/>
      <c r="D43" s="68"/>
      <c r="E43" s="68"/>
      <c r="F43" s="68"/>
      <c r="G43" s="68"/>
      <c r="H43" s="68"/>
      <c r="I43" s="68"/>
      <c r="J43" s="68"/>
      <c r="K43" s="68"/>
      <c r="L43" s="67"/>
    </row>
    <row r="44" spans="1:12" x14ac:dyDescent="0.25">
      <c r="A44" s="52">
        <v>620</v>
      </c>
      <c r="B44" s="74" t="s">
        <v>110</v>
      </c>
      <c r="C44" s="68"/>
      <c r="D44" s="68"/>
      <c r="E44" s="68"/>
      <c r="F44" s="68"/>
      <c r="G44" s="68"/>
      <c r="H44" s="68"/>
      <c r="I44" s="68"/>
      <c r="J44" s="68"/>
      <c r="K44" s="68"/>
      <c r="L44" s="67"/>
    </row>
    <row r="45" spans="1:12" x14ac:dyDescent="0.25">
      <c r="A45" s="52">
        <v>621</v>
      </c>
      <c r="B45" s="74" t="s">
        <v>111</v>
      </c>
      <c r="C45" s="68"/>
      <c r="D45" s="68"/>
      <c r="E45" s="68"/>
      <c r="F45" s="68"/>
      <c r="G45" s="68"/>
      <c r="H45" s="68"/>
      <c r="I45" s="68"/>
      <c r="J45" s="68"/>
      <c r="K45" s="68"/>
      <c r="L45" s="67"/>
    </row>
    <row r="46" spans="1:12" x14ac:dyDescent="0.25">
      <c r="A46" s="70"/>
      <c r="B46" s="71" t="s">
        <v>112</v>
      </c>
      <c r="C46" s="67"/>
      <c r="D46" s="67"/>
      <c r="E46" s="67"/>
      <c r="F46" s="67"/>
      <c r="G46" s="67"/>
      <c r="H46" s="67"/>
      <c r="I46" s="67"/>
      <c r="J46" s="67"/>
      <c r="K46" s="67"/>
      <c r="L46" s="67"/>
    </row>
    <row r="51" spans="1:12" x14ac:dyDescent="0.25">
      <c r="A51" s="112" t="s">
        <v>119</v>
      </c>
      <c r="B51" s="112"/>
      <c r="C51" s="112"/>
      <c r="D51" s="112"/>
      <c r="E51" s="112"/>
      <c r="F51" s="112"/>
      <c r="G51" s="61"/>
      <c r="H51" s="61"/>
      <c r="I51" s="62"/>
      <c r="J51" s="62"/>
      <c r="K51" s="62"/>
      <c r="L51" s="62"/>
    </row>
    <row r="52" spans="1:12" x14ac:dyDescent="0.25">
      <c r="A52" s="112"/>
      <c r="B52" s="112"/>
      <c r="C52" s="112"/>
      <c r="D52" s="112"/>
      <c r="E52" s="112"/>
      <c r="F52" s="112"/>
      <c r="G52" s="61"/>
      <c r="H52" s="61"/>
      <c r="I52" s="62"/>
      <c r="J52" s="62"/>
      <c r="K52" s="62"/>
      <c r="L52" s="62"/>
    </row>
    <row r="58" spans="1:12" x14ac:dyDescent="0.25">
      <c r="A58" s="122" t="s">
        <v>120</v>
      </c>
      <c r="B58" s="122"/>
      <c r="C58" s="122"/>
      <c r="D58" s="122"/>
      <c r="E58" s="122"/>
      <c r="F58" s="122"/>
    </row>
    <row r="59" spans="1:12" x14ac:dyDescent="0.25">
      <c r="A59" s="122"/>
      <c r="B59" s="122"/>
      <c r="C59" s="122"/>
      <c r="D59" s="122"/>
      <c r="E59" s="122"/>
      <c r="F59" s="122"/>
    </row>
    <row r="60" spans="1:12" x14ac:dyDescent="0.25">
      <c r="A60" s="123" t="s">
        <v>97</v>
      </c>
      <c r="B60" s="123"/>
      <c r="C60" s="123"/>
      <c r="D60" s="123"/>
      <c r="E60" s="123"/>
      <c r="F60" s="123"/>
    </row>
    <row r="62" spans="1:12" x14ac:dyDescent="0.25">
      <c r="B62" s="75" t="s">
        <v>121</v>
      </c>
      <c r="C62" s="55" t="s">
        <v>122</v>
      </c>
      <c r="D62" s="76"/>
    </row>
    <row r="63" spans="1:12" x14ac:dyDescent="0.25">
      <c r="B63" s="75" t="s">
        <v>123</v>
      </c>
      <c r="C63" s="55" t="s">
        <v>122</v>
      </c>
      <c r="D63" s="76"/>
    </row>
    <row r="64" spans="1:12" x14ac:dyDescent="0.25">
      <c r="B64" s="75" t="s">
        <v>124</v>
      </c>
      <c r="C64" s="55" t="s">
        <v>122</v>
      </c>
      <c r="D64" s="76"/>
    </row>
    <row r="65" spans="1:6" x14ac:dyDescent="0.25">
      <c r="B65" s="75" t="s">
        <v>125</v>
      </c>
      <c r="C65" s="55" t="s">
        <v>122</v>
      </c>
      <c r="D65" s="76"/>
    </row>
    <row r="66" spans="1:6" x14ac:dyDescent="0.25">
      <c r="B66" s="75" t="s">
        <v>126</v>
      </c>
      <c r="C66" s="55" t="s">
        <v>122</v>
      </c>
      <c r="D66" s="76"/>
    </row>
    <row r="70" spans="1:6" x14ac:dyDescent="0.25">
      <c r="A70" s="122" t="s">
        <v>127</v>
      </c>
      <c r="B70" s="122"/>
      <c r="C70" s="122"/>
      <c r="D70" s="122"/>
      <c r="E70" s="122"/>
      <c r="F70" s="122"/>
    </row>
    <row r="71" spans="1:6" x14ac:dyDescent="0.25">
      <c r="A71" s="122"/>
      <c r="B71" s="122"/>
      <c r="C71" s="122"/>
      <c r="D71" s="122"/>
      <c r="E71" s="122"/>
      <c r="F71" s="122"/>
    </row>
    <row r="72" spans="1:6" x14ac:dyDescent="0.25">
      <c r="A72" s="123" t="s">
        <v>97</v>
      </c>
      <c r="B72" s="123"/>
      <c r="C72" s="123"/>
      <c r="D72" s="123"/>
      <c r="E72" s="123"/>
      <c r="F72" s="123"/>
    </row>
    <row r="74" spans="1:6" x14ac:dyDescent="0.25">
      <c r="B74" s="75" t="s">
        <v>128</v>
      </c>
      <c r="C74" s="55" t="s">
        <v>122</v>
      </c>
      <c r="D74" s="76"/>
    </row>
    <row r="75" spans="1:6" x14ac:dyDescent="0.25">
      <c r="B75" s="75" t="s">
        <v>129</v>
      </c>
      <c r="C75" s="55" t="s">
        <v>122</v>
      </c>
      <c r="D75" s="76"/>
    </row>
    <row r="76" spans="1:6" x14ac:dyDescent="0.25">
      <c r="B76" s="75" t="s">
        <v>130</v>
      </c>
      <c r="C76" s="55" t="s">
        <v>122</v>
      </c>
      <c r="D76" s="76"/>
    </row>
    <row r="77" spans="1:6" x14ac:dyDescent="0.25">
      <c r="B77" s="65" t="s">
        <v>131</v>
      </c>
      <c r="C77" s="55" t="s">
        <v>122</v>
      </c>
      <c r="D77" s="76"/>
    </row>
    <row r="80" spans="1:6" x14ac:dyDescent="0.25">
      <c r="A80" s="77"/>
      <c r="B80" s="77"/>
      <c r="C80" s="77"/>
      <c r="D80" s="77"/>
      <c r="E80" s="77"/>
      <c r="F80" s="77"/>
    </row>
    <row r="83" spans="1:6" x14ac:dyDescent="0.25">
      <c r="A83" s="122" t="s">
        <v>120</v>
      </c>
      <c r="B83" s="122"/>
      <c r="C83" s="122"/>
      <c r="D83" s="122"/>
      <c r="E83" s="122"/>
      <c r="F83" s="122"/>
    </row>
    <row r="84" spans="1:6" x14ac:dyDescent="0.25">
      <c r="A84" s="122"/>
      <c r="B84" s="122"/>
      <c r="C84" s="122"/>
      <c r="D84" s="122"/>
      <c r="E84" s="122"/>
      <c r="F84" s="122"/>
    </row>
    <row r="85" spans="1:6" x14ac:dyDescent="0.25">
      <c r="A85" s="123" t="s">
        <v>98</v>
      </c>
      <c r="B85" s="123"/>
      <c r="C85" s="123"/>
      <c r="D85" s="123"/>
      <c r="E85" s="123"/>
      <c r="F85" s="123"/>
    </row>
    <row r="87" spans="1:6" x14ac:dyDescent="0.25">
      <c r="B87" s="75" t="s">
        <v>121</v>
      </c>
      <c r="C87" s="55" t="s">
        <v>132</v>
      </c>
      <c r="D87" s="76"/>
    </row>
    <row r="88" spans="1:6" x14ac:dyDescent="0.25">
      <c r="B88" s="75" t="s">
        <v>123</v>
      </c>
      <c r="C88" s="55" t="s">
        <v>132</v>
      </c>
      <c r="D88" s="76"/>
    </row>
    <row r="89" spans="1:6" x14ac:dyDescent="0.25">
      <c r="B89" s="75" t="s">
        <v>124</v>
      </c>
      <c r="C89" s="55" t="s">
        <v>132</v>
      </c>
      <c r="D89" s="76"/>
    </row>
    <row r="90" spans="1:6" x14ac:dyDescent="0.25">
      <c r="B90" s="75" t="s">
        <v>125</v>
      </c>
      <c r="C90" s="55" t="s">
        <v>132</v>
      </c>
      <c r="D90" s="76"/>
    </row>
    <row r="91" spans="1:6" x14ac:dyDescent="0.25">
      <c r="B91" s="75" t="s">
        <v>126</v>
      </c>
      <c r="C91" s="55" t="s">
        <v>132</v>
      </c>
      <c r="D91" s="76"/>
    </row>
    <row r="95" spans="1:6" x14ac:dyDescent="0.25">
      <c r="A95" s="122" t="s">
        <v>127</v>
      </c>
      <c r="B95" s="122"/>
      <c r="C95" s="122"/>
      <c r="D95" s="122"/>
      <c r="E95" s="122"/>
      <c r="F95" s="122"/>
    </row>
    <row r="96" spans="1:6" x14ac:dyDescent="0.25">
      <c r="A96" s="122"/>
      <c r="B96" s="122"/>
      <c r="C96" s="122"/>
      <c r="D96" s="122"/>
      <c r="E96" s="122"/>
      <c r="F96" s="122"/>
    </row>
    <row r="97" spans="1:6" x14ac:dyDescent="0.25">
      <c r="A97" s="123" t="s">
        <v>98</v>
      </c>
      <c r="B97" s="123"/>
      <c r="C97" s="123"/>
      <c r="D97" s="123"/>
      <c r="E97" s="123"/>
      <c r="F97" s="123"/>
    </row>
    <row r="99" spans="1:6" x14ac:dyDescent="0.25">
      <c r="B99" s="75" t="s">
        <v>128</v>
      </c>
      <c r="C99" s="55" t="s">
        <v>132</v>
      </c>
      <c r="D99" s="76"/>
    </row>
    <row r="100" spans="1:6" x14ac:dyDescent="0.25">
      <c r="B100" s="75" t="s">
        <v>129</v>
      </c>
      <c r="C100" s="55" t="s">
        <v>132</v>
      </c>
      <c r="D100" s="76"/>
    </row>
    <row r="101" spans="1:6" x14ac:dyDescent="0.25">
      <c r="B101" s="75" t="s">
        <v>130</v>
      </c>
      <c r="C101" s="55" t="s">
        <v>132</v>
      </c>
      <c r="D101" s="76"/>
    </row>
    <row r="102" spans="1:6" x14ac:dyDescent="0.25">
      <c r="B102" s="65" t="s">
        <v>131</v>
      </c>
      <c r="C102" s="55" t="s">
        <v>132</v>
      </c>
      <c r="D102" s="76"/>
    </row>
    <row r="105" spans="1:6" x14ac:dyDescent="0.25">
      <c r="A105" s="77"/>
      <c r="B105" s="77"/>
      <c r="C105" s="77"/>
      <c r="D105" s="77"/>
      <c r="E105" s="77"/>
      <c r="F105" s="77"/>
    </row>
    <row r="108" spans="1:6" x14ac:dyDescent="0.25">
      <c r="A108" s="122" t="s">
        <v>120</v>
      </c>
      <c r="B108" s="122"/>
      <c r="C108" s="122"/>
      <c r="D108" s="122"/>
      <c r="E108" s="122"/>
      <c r="F108" s="122"/>
    </row>
    <row r="109" spans="1:6" x14ac:dyDescent="0.25">
      <c r="A109" s="122"/>
      <c r="B109" s="122"/>
      <c r="C109" s="122"/>
      <c r="D109" s="122"/>
      <c r="E109" s="122"/>
      <c r="F109" s="122"/>
    </row>
    <row r="110" spans="1:6" x14ac:dyDescent="0.25">
      <c r="A110" s="123" t="s">
        <v>99</v>
      </c>
      <c r="B110" s="123"/>
      <c r="C110" s="123"/>
      <c r="D110" s="123"/>
      <c r="E110" s="123"/>
      <c r="F110" s="123"/>
    </row>
    <row r="112" spans="1:6" x14ac:dyDescent="0.25">
      <c r="B112" s="75" t="s">
        <v>121</v>
      </c>
      <c r="C112" s="55" t="s">
        <v>133</v>
      </c>
      <c r="D112" s="76"/>
    </row>
    <row r="113" spans="1:6" x14ac:dyDescent="0.25">
      <c r="B113" s="75" t="s">
        <v>123</v>
      </c>
      <c r="C113" s="55" t="s">
        <v>133</v>
      </c>
      <c r="D113" s="76"/>
    </row>
    <row r="114" spans="1:6" x14ac:dyDescent="0.25">
      <c r="B114" s="75" t="s">
        <v>124</v>
      </c>
      <c r="C114" s="55" t="s">
        <v>133</v>
      </c>
      <c r="D114" s="76"/>
    </row>
    <row r="115" spans="1:6" x14ac:dyDescent="0.25">
      <c r="B115" s="75" t="s">
        <v>125</v>
      </c>
      <c r="C115" s="55" t="s">
        <v>133</v>
      </c>
      <c r="D115" s="76"/>
    </row>
    <row r="116" spans="1:6" x14ac:dyDescent="0.25">
      <c r="B116" s="75" t="s">
        <v>126</v>
      </c>
      <c r="C116" s="55" t="s">
        <v>133</v>
      </c>
      <c r="D116" s="76"/>
    </row>
    <row r="120" spans="1:6" x14ac:dyDescent="0.25">
      <c r="A120" s="122" t="s">
        <v>127</v>
      </c>
      <c r="B120" s="122"/>
      <c r="C120" s="122"/>
      <c r="D120" s="122"/>
      <c r="E120" s="122"/>
      <c r="F120" s="122"/>
    </row>
    <row r="121" spans="1:6" x14ac:dyDescent="0.25">
      <c r="A121" s="122"/>
      <c r="B121" s="122"/>
      <c r="C121" s="122"/>
      <c r="D121" s="122"/>
      <c r="E121" s="122"/>
      <c r="F121" s="122"/>
    </row>
    <row r="122" spans="1:6" x14ac:dyDescent="0.25">
      <c r="A122" s="123" t="s">
        <v>99</v>
      </c>
      <c r="B122" s="123"/>
      <c r="C122" s="123"/>
      <c r="D122" s="123"/>
      <c r="E122" s="123"/>
      <c r="F122" s="123"/>
    </row>
    <row r="124" spans="1:6" x14ac:dyDescent="0.25">
      <c r="B124" s="75" t="s">
        <v>128</v>
      </c>
      <c r="C124" s="55" t="s">
        <v>133</v>
      </c>
      <c r="D124" s="76"/>
    </row>
    <row r="125" spans="1:6" x14ac:dyDescent="0.25">
      <c r="B125" s="75" t="s">
        <v>129</v>
      </c>
      <c r="C125" s="55" t="s">
        <v>133</v>
      </c>
      <c r="D125" s="76"/>
    </row>
    <row r="126" spans="1:6" x14ac:dyDescent="0.25">
      <c r="B126" s="75" t="s">
        <v>130</v>
      </c>
      <c r="C126" s="55" t="s">
        <v>133</v>
      </c>
      <c r="D126" s="76"/>
    </row>
    <row r="127" spans="1:6" x14ac:dyDescent="0.25">
      <c r="B127" s="65" t="s">
        <v>131</v>
      </c>
      <c r="C127" s="55" t="s">
        <v>133</v>
      </c>
      <c r="D127" s="76"/>
    </row>
    <row r="131" spans="1:6" x14ac:dyDescent="0.25">
      <c r="A131" s="77"/>
      <c r="B131" s="77"/>
      <c r="C131" s="77"/>
      <c r="D131" s="77"/>
      <c r="E131" s="77"/>
      <c r="F131" s="77"/>
    </row>
    <row r="134" spans="1:6" x14ac:dyDescent="0.25">
      <c r="A134" s="122" t="s">
        <v>120</v>
      </c>
      <c r="B134" s="122"/>
      <c r="C134" s="122"/>
      <c r="D134" s="122"/>
      <c r="E134" s="122"/>
      <c r="F134" s="122"/>
    </row>
    <row r="135" spans="1:6" x14ac:dyDescent="0.25">
      <c r="A135" s="122"/>
      <c r="B135" s="122"/>
      <c r="C135" s="122"/>
      <c r="D135" s="122"/>
      <c r="E135" s="122"/>
      <c r="F135" s="122"/>
    </row>
    <row r="136" spans="1:6" x14ac:dyDescent="0.25">
      <c r="A136" s="123" t="s">
        <v>99</v>
      </c>
      <c r="B136" s="123"/>
      <c r="C136" s="123"/>
      <c r="D136" s="123"/>
      <c r="E136" s="123"/>
      <c r="F136" s="123"/>
    </row>
    <row r="138" spans="1:6" x14ac:dyDescent="0.25">
      <c r="B138" s="75" t="s">
        <v>121</v>
      </c>
      <c r="C138" s="55" t="s">
        <v>134</v>
      </c>
      <c r="D138" s="76"/>
    </row>
    <row r="139" spans="1:6" x14ac:dyDescent="0.25">
      <c r="B139" s="75" t="s">
        <v>123</v>
      </c>
      <c r="C139" s="55" t="s">
        <v>134</v>
      </c>
      <c r="D139" s="76"/>
    </row>
    <row r="140" spans="1:6" x14ac:dyDescent="0.25">
      <c r="B140" s="75" t="s">
        <v>124</v>
      </c>
      <c r="C140" s="55" t="s">
        <v>134</v>
      </c>
      <c r="D140" s="76"/>
    </row>
    <row r="141" spans="1:6" x14ac:dyDescent="0.25">
      <c r="B141" s="75" t="s">
        <v>125</v>
      </c>
      <c r="C141" s="55" t="s">
        <v>134</v>
      </c>
      <c r="D141" s="76"/>
    </row>
    <row r="142" spans="1:6" x14ac:dyDescent="0.25">
      <c r="B142" s="75" t="s">
        <v>126</v>
      </c>
      <c r="C142" s="55" t="s">
        <v>134</v>
      </c>
      <c r="D142" s="76"/>
    </row>
    <row r="146" spans="1:6" x14ac:dyDescent="0.25">
      <c r="A146" s="122" t="s">
        <v>127</v>
      </c>
      <c r="B146" s="122"/>
      <c r="C146" s="122"/>
      <c r="D146" s="122"/>
      <c r="E146" s="122"/>
      <c r="F146" s="122"/>
    </row>
    <row r="147" spans="1:6" x14ac:dyDescent="0.25">
      <c r="A147" s="122"/>
      <c r="B147" s="122"/>
      <c r="C147" s="122"/>
      <c r="D147" s="122"/>
      <c r="E147" s="122"/>
      <c r="F147" s="122"/>
    </row>
    <row r="148" spans="1:6" x14ac:dyDescent="0.25">
      <c r="A148" s="123" t="s">
        <v>135</v>
      </c>
      <c r="B148" s="123"/>
      <c r="C148" s="123"/>
      <c r="D148" s="123"/>
      <c r="E148" s="123"/>
      <c r="F148" s="123"/>
    </row>
    <row r="150" spans="1:6" x14ac:dyDescent="0.25">
      <c r="B150" s="75" t="s">
        <v>128</v>
      </c>
      <c r="C150" s="55" t="s">
        <v>134</v>
      </c>
      <c r="D150" s="76"/>
    </row>
    <row r="151" spans="1:6" x14ac:dyDescent="0.25">
      <c r="B151" s="75" t="s">
        <v>129</v>
      </c>
      <c r="C151" s="55" t="s">
        <v>134</v>
      </c>
      <c r="D151" s="76"/>
    </row>
    <row r="152" spans="1:6" x14ac:dyDescent="0.25">
      <c r="B152" s="75" t="s">
        <v>130</v>
      </c>
      <c r="C152" s="55" t="s">
        <v>134</v>
      </c>
      <c r="D152" s="76"/>
    </row>
    <row r="153" spans="1:6" x14ac:dyDescent="0.25">
      <c r="B153" s="65" t="s">
        <v>131</v>
      </c>
      <c r="C153" s="55" t="s">
        <v>134</v>
      </c>
      <c r="D153" s="76"/>
    </row>
  </sheetData>
  <mergeCells count="29">
    <mergeCell ref="A122:F122"/>
    <mergeCell ref="A134:F135"/>
    <mergeCell ref="A136:F136"/>
    <mergeCell ref="A146:F147"/>
    <mergeCell ref="A148:F148"/>
    <mergeCell ref="A120:F121"/>
    <mergeCell ref="A51:F52"/>
    <mergeCell ref="A58:F59"/>
    <mergeCell ref="A60:F60"/>
    <mergeCell ref="A70:F71"/>
    <mergeCell ref="A72:F72"/>
    <mergeCell ref="A83:F84"/>
    <mergeCell ref="A85:F85"/>
    <mergeCell ref="A95:F96"/>
    <mergeCell ref="A97:F97"/>
    <mergeCell ref="A108:F109"/>
    <mergeCell ref="A110:F110"/>
    <mergeCell ref="L26:L28"/>
    <mergeCell ref="A1:C1"/>
    <mergeCell ref="E1:I1"/>
    <mergeCell ref="A2:C2"/>
    <mergeCell ref="E2:I2"/>
    <mergeCell ref="E4:I4"/>
    <mergeCell ref="E10:I10"/>
    <mergeCell ref="A22:F23"/>
    <mergeCell ref="A26:A27"/>
    <mergeCell ref="B26:B28"/>
    <mergeCell ref="C26:G27"/>
    <mergeCell ref="H26:K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gregarMontoDeCuentas">
                <anchor>
                  <from>
                    <xdr:col>3</xdr:col>
                    <xdr:colOff>57150</xdr:colOff>
                    <xdr:row>4</xdr:row>
                    <xdr:rowOff>171450</xdr:rowOff>
                  </from>
                  <to>
                    <xdr:col>3</xdr:col>
                    <xdr:colOff>1495425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gregarInfoDepartamentos">
                <anchor moveWithCells="1" sizeWithCells="1">
                  <from>
                    <xdr:col>9</xdr:col>
                    <xdr:colOff>57150</xdr:colOff>
                    <xdr:row>4</xdr:row>
                    <xdr:rowOff>9525</xdr:rowOff>
                  </from>
                  <to>
                    <xdr:col>10</xdr:col>
                    <xdr:colOff>771525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LimpiarInformacionDepartamentos">
                <anchor moveWithCells="1" sizeWithCells="1">
                  <from>
                    <xdr:col>9</xdr:col>
                    <xdr:colOff>57150</xdr:colOff>
                    <xdr:row>6</xdr:row>
                    <xdr:rowOff>133350</xdr:rowOff>
                  </from>
                  <to>
                    <xdr:col>10</xdr:col>
                    <xdr:colOff>809625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LimpiarCuentasMontos">
                <anchor>
                  <from>
                    <xdr:col>3</xdr:col>
                    <xdr:colOff>66675</xdr:colOff>
                    <xdr:row>9</xdr:row>
                    <xdr:rowOff>57150</xdr:rowOff>
                  </from>
                  <to>
                    <xdr:col>3</xdr:col>
                    <xdr:colOff>1504950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alcularCIFTotalTabla">
                <anchor moveWithCells="1" sizeWithCells="1">
                  <from>
                    <xdr:col>6</xdr:col>
                    <xdr:colOff>952500</xdr:colOff>
                    <xdr:row>20</xdr:row>
                    <xdr:rowOff>180975</xdr:rowOff>
                  </from>
                  <to>
                    <xdr:col>8</xdr:col>
                    <xdr:colOff>1295400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CalcularTasa">
                <anchor moveWithCells="1" sizeWithCells="1">
                  <from>
                    <xdr:col>6</xdr:col>
                    <xdr:colOff>952500</xdr:colOff>
                    <xdr:row>49</xdr:row>
                    <xdr:rowOff>180975</xdr:rowOff>
                  </from>
                  <to>
                    <xdr:col>8</xdr:col>
                    <xdr:colOff>1295400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LimpiarHojaCIfTotal">
                <anchor moveWithCells="1" sizeWithCells="1">
                  <from>
                    <xdr:col>9</xdr:col>
                    <xdr:colOff>238125</xdr:colOff>
                    <xdr:row>17</xdr:row>
                    <xdr:rowOff>0</xdr:rowOff>
                  </from>
                  <to>
                    <xdr:col>11</xdr:col>
                    <xdr:colOff>19050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C5"/>
  <sheetViews>
    <sheetView workbookViewId="0">
      <selection activeCell="C3" sqref="C3"/>
    </sheetView>
  </sheetViews>
  <sheetFormatPr baseColWidth="10" defaultRowHeight="15" x14ac:dyDescent="0.25"/>
  <cols>
    <col min="2" max="2" width="23.28515625" customWidth="1"/>
    <col min="3" max="3" width="36.28515625" customWidth="1"/>
  </cols>
  <sheetData>
    <row r="1" spans="1:3" x14ac:dyDescent="0.25">
      <c r="A1" s="124" t="s">
        <v>90</v>
      </c>
      <c r="B1" s="125"/>
      <c r="C1" s="126"/>
    </row>
    <row r="2" spans="1:3" x14ac:dyDescent="0.25">
      <c r="A2" s="127" t="s">
        <v>155</v>
      </c>
      <c r="B2" s="128"/>
      <c r="C2" s="129"/>
    </row>
    <row r="3" spans="1:3" ht="15.75" thickBot="1" x14ac:dyDescent="0.3">
      <c r="A3" s="130" t="s">
        <v>156</v>
      </c>
      <c r="B3" s="131"/>
      <c r="C3" s="82">
        <f>'Mano de obra'!C13</f>
        <v>804.67</v>
      </c>
    </row>
    <row r="4" spans="1:3" ht="16.5" thickTop="1" thickBot="1" x14ac:dyDescent="0.3">
      <c r="A4" s="132" t="s">
        <v>157</v>
      </c>
      <c r="B4" s="133"/>
      <c r="C4" s="83">
        <f>CIF!$L$46</f>
        <v>0</v>
      </c>
    </row>
    <row r="5" spans="1:3" ht="15.75" thickTop="1" x14ac:dyDescent="0.25">
      <c r="A5" s="134" t="s">
        <v>158</v>
      </c>
      <c r="B5" s="134"/>
      <c r="C5" s="84">
        <f>SUM(C3:C4)</f>
        <v>804.67</v>
      </c>
    </row>
  </sheetData>
  <mergeCells count="5">
    <mergeCell ref="A1:C1"/>
    <mergeCell ref="A2:C2"/>
    <mergeCell ref="A3:B3"/>
    <mergeCell ref="A4:B4"/>
    <mergeCell ref="A5:B5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rCostoTotal">
                <anchor>
                  <from>
                    <xdr:col>3</xdr:col>
                    <xdr:colOff>219075</xdr:colOff>
                    <xdr:row>1</xdr:row>
                    <xdr:rowOff>133350</xdr:rowOff>
                  </from>
                  <to>
                    <xdr:col>5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LimpiarCostoTotal">
                <anchor>
                  <from>
                    <xdr:col>3</xdr:col>
                    <xdr:colOff>219075</xdr:colOff>
                    <xdr:row>5</xdr:row>
                    <xdr:rowOff>19050</xdr:rowOff>
                  </from>
                  <to>
                    <xdr:col>5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Catalogo de cuentas</vt:lpstr>
      <vt:lpstr>Libro diario</vt:lpstr>
      <vt:lpstr>Libro mayor</vt:lpstr>
      <vt:lpstr>Balance de comprobacion</vt:lpstr>
      <vt:lpstr>Estado de resultado</vt:lpstr>
      <vt:lpstr>Mano de obra</vt:lpstr>
      <vt:lpstr>CIF</vt:lpstr>
      <vt:lpstr>Costo total</vt:lpstr>
      <vt:lpstr>MiLista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Abenabí García Acevedo</dc:creator>
  <cp:lastModifiedBy>FireFox360</cp:lastModifiedBy>
  <dcterms:created xsi:type="dcterms:W3CDTF">2021-10-23T15:31:55Z</dcterms:created>
  <dcterms:modified xsi:type="dcterms:W3CDTF">2022-10-05T03:41:51Z</dcterms:modified>
</cp:coreProperties>
</file>